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TONG_QUAN" sheetId="2" state="visible" r:id="rId2"/>
    <sheet xmlns:r="http://schemas.openxmlformats.org/officeDocument/2006/relationships" name="TEST_DATA" sheetId="3" state="visible" r:id="rId3"/>
    <sheet xmlns:r="http://schemas.openxmlformats.org/officeDocument/2006/relationships" name="TRACEABILITY" sheetId="4" state="visible" r:id="rId4"/>
    <sheet xmlns:r="http://schemas.openxmlformats.org/officeDocument/2006/relationships" name="COM-01" sheetId="5" state="visible" r:id="rId5"/>
    <sheet xmlns:r="http://schemas.openxmlformats.org/officeDocument/2006/relationships" name="COM-02" sheetId="6" state="visible" r:id="rId6"/>
    <sheet xmlns:r="http://schemas.openxmlformats.org/officeDocument/2006/relationships" name="COM-03" sheetId="7" state="visible" r:id="rId7"/>
    <sheet xmlns:r="http://schemas.openxmlformats.org/officeDocument/2006/relationships" name="COM-04" sheetId="8" state="visible" r:id="rId8"/>
    <sheet xmlns:r="http://schemas.openxmlformats.org/officeDocument/2006/relationships" name="COM-05" sheetId="9" state="visible" r:id="rId9"/>
    <sheet xmlns:r="http://schemas.openxmlformats.org/officeDocument/2006/relationships" name="COM-06" sheetId="10" state="visible" r:id="rId10"/>
    <sheet xmlns:r="http://schemas.openxmlformats.org/officeDocument/2006/relationships" name="COM-07" sheetId="11" state="visible" r:id="rId11"/>
    <sheet xmlns:r="http://schemas.openxmlformats.org/officeDocument/2006/relationships" name="COM-08" sheetId="12" state="visible" r:id="rId12"/>
    <sheet xmlns:r="http://schemas.openxmlformats.org/officeDocument/2006/relationships" name="COM-09" sheetId="13" state="visible" r:id="rId13"/>
    <sheet xmlns:r="http://schemas.openxmlformats.org/officeDocument/2006/relationships" name="COM-10" sheetId="14" state="visible" r:id="rId14"/>
    <sheet xmlns:r="http://schemas.openxmlformats.org/officeDocument/2006/relationships" name="COM-11" sheetId="15" state="visible" r:id="rId15"/>
    <sheet xmlns:r="http://schemas.openxmlformats.org/officeDocument/2006/relationships" name="COM-12" sheetId="16" state="visible" r:id="rId16"/>
  </sheets>
  <definedNames>
    <definedName name="_xlnm._FilterDatabase" localSheetId="0" hidden="1">'HUONG_DAN'!$A$3:$D$9</definedName>
    <definedName name="_xlnm._FilterDatabase" localSheetId="1" hidden="1">'TONG_QUAN'!$A$3:$K$16</definedName>
    <definedName name="_xlnm._FilterDatabase" localSheetId="2" hidden="1">'TEST_DATA'!$A$3:$F$18</definedName>
    <definedName name="_xlnm._FilterDatabase" localSheetId="3" hidden="1">'TRACEABILITY'!$A$3:$F$15</definedName>
    <definedName name="_xlnm._FilterDatabase" localSheetId="4" hidden="1">'COM-01'!$A$3:$V$17</definedName>
    <definedName name="_xlnm._FilterDatabase" localSheetId="5" hidden="1">'COM-02'!$A$3:$V$17</definedName>
    <definedName name="_xlnm._FilterDatabase" localSheetId="6" hidden="1">'COM-03'!$A$3:$V$16</definedName>
    <definedName name="_xlnm._FilterDatabase" localSheetId="7" hidden="1">'COM-04'!$A$3:$V$10</definedName>
    <definedName name="_xlnm._FilterDatabase" localSheetId="8" hidden="1">'COM-05'!$A$3:$V$14</definedName>
    <definedName name="_xlnm._FilterDatabase" localSheetId="9" hidden="1">'COM-06'!$A$3:$V$12</definedName>
    <definedName name="_xlnm._FilterDatabase" localSheetId="10" hidden="1">'COM-07'!$A$3:$V$15</definedName>
    <definedName name="_xlnm._FilterDatabase" localSheetId="11" hidden="1">'COM-08'!$A$3:$V$14</definedName>
    <definedName name="_xlnm._FilterDatabase" localSheetId="12" hidden="1">'COM-09'!$A$3:$V$15</definedName>
    <definedName name="_xlnm._FilterDatabase" localSheetId="13" hidden="1">'COM-10'!$A$3:$V$14</definedName>
    <definedName name="_xlnm._FilterDatabase" localSheetId="14" hidden="1">'COM-11'!$A$3:$V$15</definedName>
    <definedName name="_xlnm._FilterDatabase" localSheetId="15" hidden="1">'COM-12'!$A$3:$V$19</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ptos Display"/>
      <b val="1"/>
      <color rgb="00FFFFFF"/>
      <sz val="18"/>
    </font>
    <font>
      <name val="Aptos"/>
      <i val="1"/>
      <color rgb="0044546A"/>
      <sz val="10"/>
    </font>
    <font>
      <name val="Aptos"/>
      <b val="1"/>
      <color rgb="00FFFFFF"/>
      <sz val="10"/>
    </font>
    <font>
      <name val="Aptos"/>
      <sz val="10"/>
    </font>
    <font>
      <name val="Calibri"/>
      <family val="2"/>
      <color theme="10"/>
      <sz val="12"/>
      <scheme val="minor"/>
    </font>
    <font>
      <name val="Aptos"/>
      <b val="1"/>
    </font>
    <font>
      <b val="1"/>
    </font>
    <font>
      <name val="Aptos"/>
      <b val="1"/>
      <color rgb="001F4E78"/>
    </font>
  </fonts>
  <fills count="9">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F5F9FC"/>
      </patternFill>
    </fill>
    <fill>
      <patternFill patternType="solid">
        <fgColor rgb="00D9EAD3"/>
      </patternFill>
    </fill>
    <fill>
      <patternFill patternType="solid">
        <fgColor rgb="00F4CCCC"/>
      </patternFill>
    </fill>
    <fill>
      <patternFill patternType="solid">
        <fgColor rgb="00FFF2CC"/>
      </patternFill>
    </fill>
  </fills>
  <borders count="3">
    <border>
      <left/>
      <right/>
      <top/>
      <bottom/>
      <diagonal/>
    </border>
    <border>
      <left style="thin">
        <color rgb="00B7C9D6"/>
      </left>
      <right style="thin">
        <color rgb="00B7C9D6"/>
      </right>
      <top style="thin">
        <color rgb="00B7C9D6"/>
      </top>
      <bottom style="thin">
        <color rgb="00B7C9D6"/>
      </bottom>
    </border>
    <border>
      <bottom style="thin">
        <color rgb="00B7C9D6"/>
      </bottom>
    </border>
  </borders>
  <cellStyleXfs count="2">
    <xf numFmtId="0" fontId="0" fillId="0" borderId="0"/>
    <xf numFmtId="0" fontId="5" fillId="0" borderId="0"/>
  </cellStyleXfs>
  <cellXfs count="21">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1" applyAlignment="1" pivotButton="0" quotePrefix="0" xfId="0">
      <alignment horizontal="center" vertical="center" wrapText="1"/>
    </xf>
    <xf numFmtId="0" fontId="4" fillId="5" borderId="1" applyAlignment="1" pivotButton="0" quotePrefix="0" xfId="0">
      <alignment vertical="top" wrapText="1"/>
    </xf>
    <xf numFmtId="0" fontId="4" fillId="0" borderId="1" applyAlignment="1" pivotButton="0" quotePrefix="0" xfId="0">
      <alignment vertical="top" wrapText="1"/>
    </xf>
    <xf numFmtId="0" fontId="4" fillId="5" borderId="1" applyAlignment="1" pivotButton="0" quotePrefix="0" xfId="1">
      <alignment vertical="top" wrapText="1"/>
    </xf>
    <xf numFmtId="164" fontId="4" fillId="5" borderId="1" applyAlignment="1" pivotButton="0" quotePrefix="0" xfId="0">
      <alignment vertical="top" wrapText="1"/>
    </xf>
    <xf numFmtId="0" fontId="4" fillId="0" borderId="1" applyAlignment="1" pivotButton="0" quotePrefix="0" xfId="1">
      <alignment vertical="top" wrapText="1"/>
    </xf>
    <xf numFmtId="164" fontId="4" fillId="0" borderId="1" applyAlignment="1" pivotButton="0" quotePrefix="0" xfId="0">
      <alignment vertical="top" wrapText="1"/>
    </xf>
    <xf numFmtId="0" fontId="6" fillId="6" borderId="1" applyAlignment="1" pivotButton="0" quotePrefix="0" xfId="0">
      <alignment vertical="top" wrapText="1"/>
    </xf>
    <xf numFmtId="164" fontId="6" fillId="6" borderId="1" applyAlignment="1" pivotButton="0" quotePrefix="0" xfId="0">
      <alignment vertical="top" wrapText="1"/>
    </xf>
    <xf numFmtId="0" fontId="7" fillId="3" borderId="2" pivotButton="0" quotePrefix="0" xfId="0"/>
    <xf numFmtId="0" fontId="0" fillId="0" borderId="2" pivotButton="0" quotePrefix="0" xfId="0"/>
    <xf numFmtId="0" fontId="8" fillId="5" borderId="1" applyAlignment="1" pivotButton="0" quotePrefix="0" xfId="0">
      <alignment vertical="top" wrapText="1"/>
    </xf>
    <xf numFmtId="0" fontId="4" fillId="7" borderId="1" applyAlignment="1" pivotButton="0" quotePrefix="0" xfId="0">
      <alignment horizontal="center" vertical="center"/>
    </xf>
    <xf numFmtId="0" fontId="4" fillId="5" borderId="1" applyAlignment="1" pivotButton="0" quotePrefix="0" xfId="0">
      <alignment horizontal="center" vertical="center"/>
    </xf>
    <xf numFmtId="0" fontId="8" fillId="0" borderId="1" applyAlignment="1" pivotButton="0" quotePrefix="0" xfId="0">
      <alignment vertical="top" wrapText="1"/>
    </xf>
    <xf numFmtId="0" fontId="4" fillId="0" borderId="1" applyAlignment="1" pivotButton="0" quotePrefix="0" xfId="0">
      <alignment horizontal="center" vertical="center"/>
    </xf>
    <xf numFmtId="0" fontId="4" fillId="8" borderId="1" applyAlignment="1" pivotButton="0" quotePrefix="0" xfId="0">
      <alignment horizontal="center" vertical="center"/>
    </xf>
    <xf numFmtId="0" fontId="4" fillId="6" borderId="1" applyAlignment="1" pivotButton="0" quotePrefix="0" xfId="0">
      <alignment horizontal="center" vertical="center"/>
    </xf>
  </cellXfs>
  <cellStyles count="2">
    <cellStyle name="Normal" xfId="0" builtinId="0" hidden="0"/>
    <cellStyle name="Hyperlink" xfId="1" builtinId="8" hidden="0"/>
  </cellStyles>
  <dxfs count="4">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9E1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OM-01'!A1" TargetMode="External" Id="rId1"/><Relationship Type="http://schemas.openxmlformats.org/officeDocument/2006/relationships/hyperlink" Target="#'COM-02'!A1" TargetMode="External" Id="rId2"/><Relationship Type="http://schemas.openxmlformats.org/officeDocument/2006/relationships/hyperlink" Target="#'COM-03'!A1" TargetMode="External" Id="rId3"/><Relationship Type="http://schemas.openxmlformats.org/officeDocument/2006/relationships/hyperlink" Target="#'COM-04'!A1" TargetMode="External" Id="rId4"/><Relationship Type="http://schemas.openxmlformats.org/officeDocument/2006/relationships/hyperlink" Target="#'COM-05'!A1" TargetMode="External" Id="rId5"/><Relationship Type="http://schemas.openxmlformats.org/officeDocument/2006/relationships/hyperlink" Target="#'COM-06'!A1" TargetMode="External" Id="rId6"/><Relationship Type="http://schemas.openxmlformats.org/officeDocument/2006/relationships/hyperlink" Target="#'COM-07'!A1" TargetMode="External" Id="rId7"/><Relationship Type="http://schemas.openxmlformats.org/officeDocument/2006/relationships/hyperlink" Target="#'COM-08'!A1" TargetMode="External" Id="rId8"/><Relationship Type="http://schemas.openxmlformats.org/officeDocument/2006/relationships/hyperlink" Target="#'COM-09'!A1" TargetMode="External" Id="rId9"/><Relationship Type="http://schemas.openxmlformats.org/officeDocument/2006/relationships/hyperlink" Target="#'COM-10'!A1" TargetMode="External" Id="rId10"/><Relationship Type="http://schemas.openxmlformats.org/officeDocument/2006/relationships/hyperlink" Target="#'COM-11'!A1" TargetMode="External" Id="rId11"/><Relationship Type="http://schemas.openxmlformats.org/officeDocument/2006/relationships/hyperlink" Target="#'COM-12'!A1" TargetMode="External" Id="rId12"/></Relationships>
</file>

<file path=xl/worksheets/_rels/sheet4.xml.rels><Relationships xmlns="http://schemas.openxmlformats.org/package/2006/relationships"><Relationship Type="http://schemas.openxmlformats.org/officeDocument/2006/relationships/hyperlink" Target="https://app.notion.com/p/UC-COM-01-ng-k-v-x-c-th-c-t-i-kho-n-3e6a3ff152d580f3834df8eb971eb382?pvs=21" TargetMode="External" Id="rId1"/><Relationship Type="http://schemas.openxmlformats.org/officeDocument/2006/relationships/hyperlink" Target="https://app.notion.com/p/UC-COM-02-G-i-y-u-c-u-tham-gia-doanh-nghi-p-3e6a3ff152d580babfd0c3966f1489fa?pvs=21" TargetMode="External" Id="rId2"/><Relationship Type="http://schemas.openxmlformats.org/officeDocument/2006/relationships/hyperlink" Target="https://app.notion.com/p/UC-COM-03-ng-nh-p-3e6a3ff152d58081ae73ff4c5f87c214?pvs=21" TargetMode="External" Id="rId3"/><Relationship Type="http://schemas.openxmlformats.org/officeDocument/2006/relationships/hyperlink" Target="https://app.notion.com/p/UC-COM-04-ng-xu-t-3e6a3ff152d58019962cf92b9a8753ab?pvs=21" TargetMode="External" Id="rId4"/><Relationship Type="http://schemas.openxmlformats.org/officeDocument/2006/relationships/hyperlink" Target="https://app.notion.com/p/UC-COM-05-Qu-n-v-t-l-i-m-t-kh-u-3e6a3ff152d580c68d79eb77a45d1b1f?pvs=21" TargetMode="External" Id="rId5"/><Relationship Type="http://schemas.openxmlformats.org/officeDocument/2006/relationships/hyperlink" Target="https://app.notion.com/p/UC-COM-06-i-m-t-kh-u-3e6a3ff152d580f1944bdd84f087a663?pvs=21" TargetMode="External" Id="rId6"/><Relationship Type="http://schemas.openxmlformats.org/officeDocument/2006/relationships/hyperlink" Target="https://app.notion.com/p/UC-COM-07-Qu-n-l-t-i-kho-n-c-nh-n-3e6a3ff152d5809786f3d5125c32434e?pvs=21" TargetMode="External" Id="rId7"/><Relationship Type="http://schemas.openxmlformats.org/officeDocument/2006/relationships/hyperlink" Target="https://app.notion.com/p/UC-COM-08-Chuy-n-ph-m-vi-l-m-vi-c-3e6a3ff152d580b282c1c042b0247235?pvs=21" TargetMode="External" Id="rId8"/><Relationship Type="http://schemas.openxmlformats.org/officeDocument/2006/relationships/hyperlink" Target="https://app.notion.com/p/UC-COM-09-Xem-v-x-l-th-ng-b-o-3e6a3ff152d580d99947fceb4cd6601c?pvs=21" TargetMode="External" Id="rId9"/><Relationship Type="http://schemas.openxmlformats.org/officeDocument/2006/relationships/hyperlink" Target="https://app.notion.com/p/UC-COM-10-T-m-ki-m-to-n-h-th-ng-3e6a3ff152d580da867adfa81349d643?pvs=21" TargetMode="External" Id="rId10"/><Relationship Type="http://schemas.openxmlformats.org/officeDocument/2006/relationships/hyperlink" Target="https://app.notion.com/p/UC-COM-11-Xem-vi-c-c-n-x-l-3e6a3ff152d580a8b717ce2bbb2db731?pvs=21" TargetMode="External" Id="rId11"/><Relationship Type="http://schemas.openxmlformats.org/officeDocument/2006/relationships/hyperlink" Target="https://app.notion.com/p/UC-COM-12-S-d-ng-AI-Assistant-3e6a3ff152d58051bbaece21b9a546c3?pvs=21" TargetMode="External" Id="rId12"/></Relationships>
</file>

<file path=xl/worksheets/sheet1.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20" customWidth="1" min="1" max="1"/>
    <col width="85" customWidth="1" min="2" max="2"/>
    <col width="12" customWidth="1" min="3" max="3"/>
    <col width="38" customWidth="1" min="4" max="4"/>
  </cols>
  <sheetData>
    <row r="1" ht="32" customHeight="1">
      <c r="A1" s="1" t="inlineStr">
        <is>
          <t>HƯỚNG DẪN THỰC THI TEST CASE</t>
        </is>
      </c>
    </row>
    <row r="2" ht="30" customHeight="1">
      <c r="A2" s="2" t="inlineStr">
        <is>
          <t>Workbook chỉ dành cho UC-COM-01 đến UC-COM-12</t>
        </is>
      </c>
    </row>
    <row r="3" ht="38" customHeight="1">
      <c r="A3" s="3" t="inlineStr">
        <is>
          <t>Mục</t>
        </is>
      </c>
      <c r="B3" s="3" t="inlineStr">
        <is>
          <t>Hướng dẫn</t>
        </is>
      </c>
      <c r="C3" s="3" t="inlineStr">
        <is>
          <t>Bắt buộc</t>
        </is>
      </c>
      <c r="D3" s="3" t="inlineStr">
        <is>
          <t>Ghi chú</t>
        </is>
      </c>
    </row>
    <row r="4" ht="44" customHeight="1">
      <c r="A4" s="4" t="inlineStr">
        <is>
          <t>Trước khi test</t>
        </is>
      </c>
      <c r="B4" s="4" t="inlineStr">
        <is>
          <t>Ghi Build/Environment tại sheet TONG_QUAN; chuẩn bị account và dữ liệu theo TEST_DATA.</t>
        </is>
      </c>
      <c r="C4" s="4" t="inlineStr">
        <is>
          <t>Có</t>
        </is>
      </c>
      <c r="D4" s="4" t="inlineStr">
        <is>
          <t>Không dùng dữ liệu production.</t>
        </is>
      </c>
    </row>
    <row r="5" ht="44" customHeight="1">
      <c r="A5" s="5" t="inlineStr">
        <is>
          <t>Thực thi</t>
        </is>
      </c>
      <c r="B5" s="5" t="inlineStr">
        <is>
          <t>Mở sheet UC tương ứng, lọc Priority/Status, làm lần lượt các bước và ghi Actual Result.</t>
        </is>
      </c>
      <c r="C5" s="5" t="inlineStr">
        <is>
          <t>Có</t>
        </is>
      </c>
      <c r="D5" s="5" t="inlineStr">
        <is>
          <t>P0 trước, sau đó P1 và P2.</t>
        </is>
      </c>
    </row>
    <row r="6" ht="44" customHeight="1">
      <c r="A6" s="4" t="inlineStr">
        <is>
          <t>Status</t>
        </is>
      </c>
      <c r="B6" s="4" t="inlineStr">
        <is>
          <t>Not Run: chưa chạy; Pass: đúng; Fail: sai; Blocked: không thể chạy; N/A: không áp dụng.</t>
        </is>
      </c>
      <c r="C6" s="4" t="inlineStr">
        <is>
          <t>Có</t>
        </is>
      </c>
      <c r="D6" s="4" t="inlineStr">
        <is>
          <t>Fail/Blocked phải có evidence.</t>
        </is>
      </c>
    </row>
    <row r="7" ht="44" customHeight="1">
      <c r="A7" s="5" t="inlineStr">
        <is>
          <t>Khi Fail</t>
        </is>
      </c>
      <c r="B7" s="5" t="inlineStr">
        <is>
          <t>Chọn Severity, nhập Defect ID, request/response đã che token/OTP và Evidence/Link.</t>
        </is>
      </c>
      <c r="C7" s="5" t="inlineStr">
        <is>
          <t>Có</t>
        </is>
      </c>
      <c r="D7" s="5" t="inlineStr">
        <is>
          <t>Không đưa secret vào ticket.</t>
        </is>
      </c>
    </row>
    <row r="8" ht="44" customHeight="1">
      <c r="A8" s="4" t="inlineStr">
        <is>
          <t>Retest</t>
        </is>
      </c>
      <c r="B8" s="4" t="inlineStr">
        <is>
          <t>Giữ nguyên Test Case ID, cập nhật Actual Result/Status/Ngày chạy và ghi lịch sử trong Ghi chú.</t>
        </is>
      </c>
      <c r="C8" s="4" t="inlineStr">
        <is>
          <t>Có</t>
        </is>
      </c>
      <c r="D8" s="4" t="inlineStr">
        <is>
          <t>Không xóa bằng chứng lần chạy cũ.</t>
        </is>
      </c>
    </row>
    <row r="9" ht="44" customHeight="1">
      <c r="A9" s="5" t="inlineStr">
        <is>
          <t>Nguồn kỳ vọng</t>
        </is>
      </c>
      <c r="B9" s="5" t="inlineStr">
        <is>
          <t>Expected Result lấy từ test plan và implementation hiện tại; đối chiếu Notion trước sign-off.</t>
        </is>
      </c>
      <c r="C9" s="5" t="inlineStr">
        <is>
          <t>Có</t>
        </is>
      </c>
      <c r="D9" s="5" t="inlineStr">
        <is>
          <t>Các điểm mở nằm trong test plan.</t>
        </is>
      </c>
    </row>
  </sheetData>
  <autoFilter ref="A3:D9"/>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3" topLeftCell="A4" activePane="bottomLeft" state="frozen"/>
      <selection pane="bottomLeft" activeCell="A1" sqref="A1"/>
    </sheetView>
  </sheetViews>
  <sheetFormatPr baseColWidth="8" defaultRowHeight="15"/>
  <cols>
    <col width="15" customWidth="1" min="1" max="1"/>
    <col width="42" customWidth="1" min="2" max="2"/>
    <col width="11" customWidth="1" min="3" max="3"/>
    <col width="9" customWidth="1" min="4" max="4"/>
    <col width="9" customWidth="1" min="5" max="5"/>
    <col width="9" customWidth="1" min="6" max="6"/>
    <col width="11" customWidth="1" min="7" max="7"/>
    <col width="11" customWidth="1" min="8" max="8"/>
    <col width="11" customWidth="1" min="9" max="9"/>
    <col width="11" customWidth="1" min="10" max="10"/>
    <col width="11" customWidth="1" min="11" max="11"/>
  </cols>
  <sheetData>
    <row r="1" ht="32" customHeight="1">
      <c r="A1" s="1" t="inlineStr">
        <is>
          <t>TỔNG QUAN THỰC THI</t>
        </is>
      </c>
    </row>
    <row r="2" ht="30" customHeight="1">
      <c r="A2" s="2" t="inlineStr">
        <is>
          <t>Sinh ngày 30/09/2026 từ COMMON_SERVICES_TEST_PLAN.md</t>
        </is>
      </c>
    </row>
    <row r="3" ht="38" customHeight="1">
      <c r="A3" s="3" t="inlineStr">
        <is>
          <t>UC ID</t>
        </is>
      </c>
      <c r="B3" s="3" t="inlineStr">
        <is>
          <t>Tên use case</t>
        </is>
      </c>
      <c r="C3" s="3" t="inlineStr">
        <is>
          <t>Tổng TC</t>
        </is>
      </c>
      <c r="D3" s="3" t="inlineStr">
        <is>
          <t>P0</t>
        </is>
      </c>
      <c r="E3" s="3" t="inlineStr">
        <is>
          <t>P1</t>
        </is>
      </c>
      <c r="F3" s="3" t="inlineStr">
        <is>
          <t>P2</t>
        </is>
      </c>
      <c r="G3" s="3" t="inlineStr">
        <is>
          <t>Pass</t>
        </is>
      </c>
      <c r="H3" s="3" t="inlineStr">
        <is>
          <t>Fail</t>
        </is>
      </c>
      <c r="I3" s="3" t="inlineStr">
        <is>
          <t>Blocked</t>
        </is>
      </c>
      <c r="J3" s="3" t="inlineStr">
        <is>
          <t>Not Run</t>
        </is>
      </c>
      <c r="K3" s="3" t="inlineStr">
        <is>
          <t>% Pass</t>
        </is>
      </c>
    </row>
    <row r="4">
      <c r="A4" s="6" t="inlineStr">
        <is>
          <t>UC-COM-01</t>
        </is>
      </c>
      <c r="B4" s="4" t="inlineStr">
        <is>
          <t>Đăng ký và xác thực tài khoản</t>
        </is>
      </c>
      <c r="C4" s="4" t="n">
        <v>14</v>
      </c>
      <c r="D4" s="4" t="n">
        <v>8</v>
      </c>
      <c r="E4" s="4" t="n">
        <v>6</v>
      </c>
      <c r="F4" s="4" t="n">
        <v>0</v>
      </c>
      <c r="G4" s="4">
        <f>COUNTIF('COM-01'!$O:$O,"Pass")</f>
        <v/>
      </c>
      <c r="H4" s="4">
        <f>COUNTIF('COM-01'!$O:$O,"Fail")</f>
        <v/>
      </c>
      <c r="I4" s="4">
        <f>COUNTIF('COM-01'!$O:$O,"Blocked")</f>
        <v/>
      </c>
      <c r="J4" s="4">
        <f>COUNTIF('COM-01'!$O:$O,"Not Run")</f>
        <v/>
      </c>
      <c r="K4" s="7">
        <f>IF(C4=0,0,G4/C4)</f>
        <v/>
      </c>
    </row>
    <row r="5">
      <c r="A5" s="8" t="inlineStr">
        <is>
          <t>UC-COM-02</t>
        </is>
      </c>
      <c r="B5" s="5" t="inlineStr">
        <is>
          <t>Gửi yêu cầu tham gia doanh nghiệp</t>
        </is>
      </c>
      <c r="C5" s="5" t="n">
        <v>14</v>
      </c>
      <c r="D5" s="5" t="n">
        <v>7</v>
      </c>
      <c r="E5" s="5" t="n">
        <v>7</v>
      </c>
      <c r="F5" s="5" t="n">
        <v>0</v>
      </c>
      <c r="G5" s="5">
        <f>COUNTIF('COM-02'!$O:$O,"Pass")</f>
        <v/>
      </c>
      <c r="H5" s="5">
        <f>COUNTIF('COM-02'!$O:$O,"Fail")</f>
        <v/>
      </c>
      <c r="I5" s="5">
        <f>COUNTIF('COM-02'!$O:$O,"Blocked")</f>
        <v/>
      </c>
      <c r="J5" s="5">
        <f>COUNTIF('COM-02'!$O:$O,"Not Run")</f>
        <v/>
      </c>
      <c r="K5" s="9">
        <f>IF(C5=0,0,G5/C5)</f>
        <v/>
      </c>
    </row>
    <row r="6">
      <c r="A6" s="6" t="inlineStr">
        <is>
          <t>UC-COM-03</t>
        </is>
      </c>
      <c r="B6" s="4" t="inlineStr">
        <is>
          <t>Đăng nhập</t>
        </is>
      </c>
      <c r="C6" s="4" t="n">
        <v>13</v>
      </c>
      <c r="D6" s="4" t="n">
        <v>8</v>
      </c>
      <c r="E6" s="4" t="n">
        <v>5</v>
      </c>
      <c r="F6" s="4" t="n">
        <v>0</v>
      </c>
      <c r="G6" s="4">
        <f>COUNTIF('COM-03'!$O:$O,"Pass")</f>
        <v/>
      </c>
      <c r="H6" s="4">
        <f>COUNTIF('COM-03'!$O:$O,"Fail")</f>
        <v/>
      </c>
      <c r="I6" s="4">
        <f>COUNTIF('COM-03'!$O:$O,"Blocked")</f>
        <v/>
      </c>
      <c r="J6" s="4">
        <f>COUNTIF('COM-03'!$O:$O,"Not Run")</f>
        <v/>
      </c>
      <c r="K6" s="7">
        <f>IF(C6=0,0,G6/C6)</f>
        <v/>
      </c>
    </row>
    <row r="7">
      <c r="A7" s="8" t="inlineStr">
        <is>
          <t>UC-COM-04</t>
        </is>
      </c>
      <c r="B7" s="5" t="inlineStr">
        <is>
          <t>Đăng xuất</t>
        </is>
      </c>
      <c r="C7" s="5" t="n">
        <v>7</v>
      </c>
      <c r="D7" s="5" t="n">
        <v>5</v>
      </c>
      <c r="E7" s="5" t="n">
        <v>2</v>
      </c>
      <c r="F7" s="5" t="n">
        <v>0</v>
      </c>
      <c r="G7" s="5">
        <f>COUNTIF('COM-04'!$O:$O,"Pass")</f>
        <v/>
      </c>
      <c r="H7" s="5">
        <f>COUNTIF('COM-04'!$O:$O,"Fail")</f>
        <v/>
      </c>
      <c r="I7" s="5">
        <f>COUNTIF('COM-04'!$O:$O,"Blocked")</f>
        <v/>
      </c>
      <c r="J7" s="5">
        <f>COUNTIF('COM-04'!$O:$O,"Not Run")</f>
        <v/>
      </c>
      <c r="K7" s="9">
        <f>IF(C7=0,0,G7/C7)</f>
        <v/>
      </c>
    </row>
    <row r="8">
      <c r="A8" s="6" t="inlineStr">
        <is>
          <t>UC-COM-05</t>
        </is>
      </c>
      <c r="B8" s="4" t="inlineStr">
        <is>
          <t>Quên và đặt lại mật khẩu</t>
        </is>
      </c>
      <c r="C8" s="4" t="n">
        <v>11</v>
      </c>
      <c r="D8" s="4" t="n">
        <v>7</v>
      </c>
      <c r="E8" s="4" t="n">
        <v>4</v>
      </c>
      <c r="F8" s="4" t="n">
        <v>0</v>
      </c>
      <c r="G8" s="4">
        <f>COUNTIF('COM-05'!$O:$O,"Pass")</f>
        <v/>
      </c>
      <c r="H8" s="4">
        <f>COUNTIF('COM-05'!$O:$O,"Fail")</f>
        <v/>
      </c>
      <c r="I8" s="4">
        <f>COUNTIF('COM-05'!$O:$O,"Blocked")</f>
        <v/>
      </c>
      <c r="J8" s="4">
        <f>COUNTIF('COM-05'!$O:$O,"Not Run")</f>
        <v/>
      </c>
      <c r="K8" s="7">
        <f>IF(C8=0,0,G8/C8)</f>
        <v/>
      </c>
    </row>
    <row r="9">
      <c r="A9" s="8" t="inlineStr">
        <is>
          <t>UC-COM-06</t>
        </is>
      </c>
      <c r="B9" s="5" t="inlineStr">
        <is>
          <t>Đổi mật khẩu</t>
        </is>
      </c>
      <c r="C9" s="5" t="n">
        <v>9</v>
      </c>
      <c r="D9" s="5" t="n">
        <v>6</v>
      </c>
      <c r="E9" s="5" t="n">
        <v>3</v>
      </c>
      <c r="F9" s="5" t="n">
        <v>0</v>
      </c>
      <c r="G9" s="5">
        <f>COUNTIF('COM-06'!$O:$O,"Pass")</f>
        <v/>
      </c>
      <c r="H9" s="5">
        <f>COUNTIF('COM-06'!$O:$O,"Fail")</f>
        <v/>
      </c>
      <c r="I9" s="5">
        <f>COUNTIF('COM-06'!$O:$O,"Blocked")</f>
        <v/>
      </c>
      <c r="J9" s="5">
        <f>COUNTIF('COM-06'!$O:$O,"Not Run")</f>
        <v/>
      </c>
      <c r="K9" s="9">
        <f>IF(C9=0,0,G9/C9)</f>
        <v/>
      </c>
    </row>
    <row r="10">
      <c r="A10" s="6" t="inlineStr">
        <is>
          <t>UC-COM-07</t>
        </is>
      </c>
      <c r="B10" s="4" t="inlineStr">
        <is>
          <t>Quản lý tài khoản cá nhân</t>
        </is>
      </c>
      <c r="C10" s="4" t="n">
        <v>12</v>
      </c>
      <c r="D10" s="4" t="n">
        <v>3</v>
      </c>
      <c r="E10" s="4" t="n">
        <v>9</v>
      </c>
      <c r="F10" s="4" t="n">
        <v>0</v>
      </c>
      <c r="G10" s="4">
        <f>COUNTIF('COM-07'!$O:$O,"Pass")</f>
        <v/>
      </c>
      <c r="H10" s="4">
        <f>COUNTIF('COM-07'!$O:$O,"Fail")</f>
        <v/>
      </c>
      <c r="I10" s="4">
        <f>COUNTIF('COM-07'!$O:$O,"Blocked")</f>
        <v/>
      </c>
      <c r="J10" s="4">
        <f>COUNTIF('COM-07'!$O:$O,"Not Run")</f>
        <v/>
      </c>
      <c r="K10" s="7">
        <f>IF(C10=0,0,G10/C10)</f>
        <v/>
      </c>
    </row>
    <row r="11">
      <c r="A11" s="8" t="inlineStr">
        <is>
          <t>UC-COM-08</t>
        </is>
      </c>
      <c r="B11" s="5" t="inlineStr">
        <is>
          <t>Chuyển phạm vi làm việc</t>
        </is>
      </c>
      <c r="C11" s="5" t="n">
        <v>11</v>
      </c>
      <c r="D11" s="5" t="n">
        <v>6</v>
      </c>
      <c r="E11" s="5" t="n">
        <v>5</v>
      </c>
      <c r="F11" s="5" t="n">
        <v>0</v>
      </c>
      <c r="G11" s="5">
        <f>COUNTIF('COM-08'!$O:$O,"Pass")</f>
        <v/>
      </c>
      <c r="H11" s="5">
        <f>COUNTIF('COM-08'!$O:$O,"Fail")</f>
        <v/>
      </c>
      <c r="I11" s="5">
        <f>COUNTIF('COM-08'!$O:$O,"Blocked")</f>
        <v/>
      </c>
      <c r="J11" s="5">
        <f>COUNTIF('COM-08'!$O:$O,"Not Run")</f>
        <v/>
      </c>
      <c r="K11" s="9">
        <f>IF(C11=0,0,G11/C11)</f>
        <v/>
      </c>
    </row>
    <row r="12">
      <c r="A12" s="6" t="inlineStr">
        <is>
          <t>UC-COM-09</t>
        </is>
      </c>
      <c r="B12" s="4" t="inlineStr">
        <is>
          <t>Xem và xử lý thông báo</t>
        </is>
      </c>
      <c r="C12" s="4" t="n">
        <v>12</v>
      </c>
      <c r="D12" s="4" t="n">
        <v>3</v>
      </c>
      <c r="E12" s="4" t="n">
        <v>8</v>
      </c>
      <c r="F12" s="4" t="n">
        <v>1</v>
      </c>
      <c r="G12" s="4">
        <f>COUNTIF('COM-09'!$O:$O,"Pass")</f>
        <v/>
      </c>
      <c r="H12" s="4">
        <f>COUNTIF('COM-09'!$O:$O,"Fail")</f>
        <v/>
      </c>
      <c r="I12" s="4">
        <f>COUNTIF('COM-09'!$O:$O,"Blocked")</f>
        <v/>
      </c>
      <c r="J12" s="4">
        <f>COUNTIF('COM-09'!$O:$O,"Not Run")</f>
        <v/>
      </c>
      <c r="K12" s="7">
        <f>IF(C12=0,0,G12/C12)</f>
        <v/>
      </c>
    </row>
    <row r="13">
      <c r="A13" s="8" t="inlineStr">
        <is>
          <t>UC-COM-10</t>
        </is>
      </c>
      <c r="B13" s="5" t="inlineStr">
        <is>
          <t>Tìm kiếm toàn hệ thống</t>
        </is>
      </c>
      <c r="C13" s="5" t="n">
        <v>11</v>
      </c>
      <c r="D13" s="5" t="n">
        <v>5</v>
      </c>
      <c r="E13" s="5" t="n">
        <v>6</v>
      </c>
      <c r="F13" s="5" t="n">
        <v>0</v>
      </c>
      <c r="G13" s="5">
        <f>COUNTIF('COM-10'!$O:$O,"Pass")</f>
        <v/>
      </c>
      <c r="H13" s="5">
        <f>COUNTIF('COM-10'!$O:$O,"Fail")</f>
        <v/>
      </c>
      <c r="I13" s="5">
        <f>COUNTIF('COM-10'!$O:$O,"Blocked")</f>
        <v/>
      </c>
      <c r="J13" s="5">
        <f>COUNTIF('COM-10'!$O:$O,"Not Run")</f>
        <v/>
      </c>
      <c r="K13" s="9">
        <f>IF(C13=0,0,G13/C13)</f>
        <v/>
      </c>
    </row>
    <row r="14">
      <c r="A14" s="6" t="inlineStr">
        <is>
          <t>UC-COM-11</t>
        </is>
      </c>
      <c r="B14" s="4" t="inlineStr">
        <is>
          <t>Xem việc cần xử lý</t>
        </is>
      </c>
      <c r="C14" s="4" t="n">
        <v>12</v>
      </c>
      <c r="D14" s="4" t="n">
        <v>3</v>
      </c>
      <c r="E14" s="4" t="n">
        <v>9</v>
      </c>
      <c r="F14" s="4" t="n">
        <v>0</v>
      </c>
      <c r="G14" s="4">
        <f>COUNTIF('COM-11'!$O:$O,"Pass")</f>
        <v/>
      </c>
      <c r="H14" s="4">
        <f>COUNTIF('COM-11'!$O:$O,"Fail")</f>
        <v/>
      </c>
      <c r="I14" s="4">
        <f>COUNTIF('COM-11'!$O:$O,"Blocked")</f>
        <v/>
      </c>
      <c r="J14" s="4">
        <f>COUNTIF('COM-11'!$O:$O,"Not Run")</f>
        <v/>
      </c>
      <c r="K14" s="7">
        <f>IF(C14=0,0,G14/C14)</f>
        <v/>
      </c>
    </row>
    <row r="15">
      <c r="A15" s="8" t="inlineStr">
        <is>
          <t>UC-COM-12</t>
        </is>
      </c>
      <c r="B15" s="5" t="inlineStr">
        <is>
          <t>Sử dụng AI Assistant</t>
        </is>
      </c>
      <c r="C15" s="5" t="n">
        <v>16</v>
      </c>
      <c r="D15" s="5" t="n">
        <v>5</v>
      </c>
      <c r="E15" s="5" t="n">
        <v>11</v>
      </c>
      <c r="F15" s="5" t="n">
        <v>0</v>
      </c>
      <c r="G15" s="5">
        <f>COUNTIF('COM-12'!$O:$O,"Pass")</f>
        <v/>
      </c>
      <c r="H15" s="5">
        <f>COUNTIF('COM-12'!$O:$O,"Fail")</f>
        <v/>
      </c>
      <c r="I15" s="5">
        <f>COUNTIF('COM-12'!$O:$O,"Blocked")</f>
        <v/>
      </c>
      <c r="J15" s="5">
        <f>COUNTIF('COM-12'!$O:$O,"Not Run")</f>
        <v/>
      </c>
      <c r="K15" s="9">
        <f>IF(C15=0,0,G15/C15)</f>
        <v/>
      </c>
    </row>
    <row r="16">
      <c r="A16" s="10" t="inlineStr">
        <is>
          <t>TOTAL</t>
        </is>
      </c>
      <c r="B16" s="10" t="inlineStr">
        <is>
          <t>UC-COM-01 đến UC-COM-12</t>
        </is>
      </c>
      <c r="C16" s="10">
        <f>SUM(C4:C15)</f>
        <v/>
      </c>
      <c r="D16" s="10">
        <f>SUM(D4:D15)</f>
        <v/>
      </c>
      <c r="E16" s="10">
        <f>SUM(E4:E15)</f>
        <v/>
      </c>
      <c r="F16" s="10">
        <f>SUM(F4:F15)</f>
        <v/>
      </c>
      <c r="G16" s="10">
        <f>SUM(G4:G15)</f>
        <v/>
      </c>
      <c r="H16" s="10">
        <f>SUM(H4:H15)</f>
        <v/>
      </c>
      <c r="I16" s="10">
        <f>SUM(I4:I15)</f>
        <v/>
      </c>
      <c r="J16" s="10">
        <f>SUM(J4:J15)</f>
        <v/>
      </c>
      <c r="K16" s="11">
        <f>IF(C16=0,0,G16/C16)</f>
        <v/>
      </c>
    </row>
    <row r="18">
      <c r="A18" s="12" t="inlineStr">
        <is>
          <t>Environment</t>
        </is>
      </c>
      <c r="B18" s="13" t="inlineStr">
        <is>
          <t>Staging</t>
        </is>
      </c>
    </row>
    <row r="19">
      <c r="A19" s="12" t="inlineStr">
        <is>
          <t>Build/Commit</t>
        </is>
      </c>
      <c r="B19" s="13" t="inlineStr"/>
    </row>
    <row r="20">
      <c r="A20" s="12" t="inlineStr">
        <is>
          <t>Test cycle</t>
        </is>
      </c>
      <c r="B20" s="13" t="inlineStr"/>
    </row>
    <row r="21">
      <c r="A21" s="12" t="inlineStr">
        <is>
          <t>Người phụ trách</t>
        </is>
      </c>
      <c r="B21" s="13" t="inlineStr"/>
    </row>
    <row r="22">
      <c r="A22" s="12" t="inlineStr">
        <is>
          <t>Ngày bắt đầu/kết thúc</t>
        </is>
      </c>
      <c r="B22" s="13" t="inlineStr"/>
    </row>
  </sheetData>
  <autoFilter ref="A3:K16"/>
  <mergeCells count="2">
    <mergeCell ref="A2:K2"/>
    <mergeCell ref="A1:K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5"/>
  <cols>
    <col width="14" customWidth="1" min="1" max="1"/>
    <col width="27" customWidth="1" min="2" max="2"/>
    <col width="38" customWidth="1" min="3" max="3"/>
    <col width="28" customWidth="1" min="4" max="4"/>
    <col width="30" customWidth="1" min="5" max="5"/>
    <col width="36" customWidth="1" min="6" max="6"/>
  </cols>
  <sheetData>
    <row r="1" ht="32" customHeight="1">
      <c r="A1" s="1" t="inlineStr">
        <is>
          <t>DỮ LIỆU VÀ TÀI KHOẢN KIỂM THỬ</t>
        </is>
      </c>
    </row>
    <row r="2" ht="30" customHeight="1">
      <c r="A2" s="2" t="inlineStr">
        <is>
          <t>Thay giá trị placeholder bằng credential/UUID của môi trường; không ghi mật khẩu production</t>
        </is>
      </c>
    </row>
    <row r="3" ht="38" customHeight="1">
      <c r="A3" s="3" t="inlineStr">
        <is>
          <t>Mã</t>
        </is>
      </c>
      <c r="B3" s="3" t="inlineStr">
        <is>
          <t>Đối tượng</t>
        </is>
      </c>
      <c r="C3" s="3" t="inlineStr">
        <is>
          <t>Trạng thái/Quyền</t>
        </is>
      </c>
      <c r="D3" s="3" t="inlineStr">
        <is>
          <t>Doanh nghiệp/Chi nhánh</t>
        </is>
      </c>
      <c r="E3" s="3" t="inlineStr">
        <is>
          <t>Mục đích</t>
        </is>
      </c>
      <c r="F3" s="3" t="inlineStr">
        <is>
          <t>Giá trị môi trường</t>
        </is>
      </c>
    </row>
    <row r="4" ht="42" customHeight="1">
      <c r="A4" s="4" t="inlineStr">
        <is>
          <t>U0</t>
        </is>
      </c>
      <c r="B4" s="4" t="inlineStr">
        <is>
          <t>Khách chưa đăng ký</t>
        </is>
      </c>
      <c r="C4" s="4" t="inlineStr">
        <is>
          <t>Anonymous</t>
        </is>
      </c>
      <c r="D4" s="4" t="inlineStr">
        <is>
          <t>-</t>
        </is>
      </c>
      <c r="E4" s="4" t="inlineStr">
        <is>
          <t>Đăng ký</t>
        </is>
      </c>
      <c r="F4" s="4" t="inlineStr"/>
    </row>
    <row r="5" ht="42" customHeight="1">
      <c r="A5" s="5" t="inlineStr">
        <is>
          <t>U1</t>
        </is>
      </c>
      <c r="B5" s="5" t="inlineStr">
        <is>
          <t>Tài khoản chờ xác thực</t>
        </is>
      </c>
      <c r="C5" s="5" t="inlineStr">
        <is>
          <t>INACTIVE/UNVERIFIED</t>
        </is>
      </c>
      <c r="D5" s="5" t="inlineStr">
        <is>
          <t>-</t>
        </is>
      </c>
      <c r="E5" s="5" t="inlineStr">
        <is>
          <t>OTP, pending login</t>
        </is>
      </c>
      <c r="F5" s="5" t="inlineStr"/>
    </row>
    <row r="6" ht="42" customHeight="1">
      <c r="A6" s="4" t="inlineStr">
        <is>
          <t>U2</t>
        </is>
      </c>
      <c r="B6" s="4" t="inlineStr">
        <is>
          <t>User đã verify</t>
        </is>
      </c>
      <c r="C6" s="4" t="inlineStr">
        <is>
          <t>ACTIVE, chưa có membership</t>
        </is>
      </c>
      <c r="D6" s="4" t="inlineStr">
        <is>
          <t>-</t>
        </is>
      </c>
      <c r="E6" s="4" t="inlineStr">
        <is>
          <t>Join request/company setup</t>
        </is>
      </c>
      <c r="F6" s="4" t="inlineStr"/>
    </row>
    <row r="7" ht="42" customHeight="1">
      <c r="A7" s="5" t="inlineStr">
        <is>
          <t>U3</t>
        </is>
      </c>
      <c r="B7" s="5" t="inlineStr">
        <is>
          <t>User toàn quyền</t>
        </is>
      </c>
      <c r="C7" s="5" t="inlineStr">
        <is>
          <t>ACTIVE, full Permission/Data Scope</t>
        </is>
      </c>
      <c r="D7" s="5" t="inlineStr">
        <is>
          <t>C1 / all branches</t>
        </is>
      </c>
      <c r="E7" s="5" t="inlineStr">
        <is>
          <t>Happy path</t>
        </is>
      </c>
      <c r="F7" s="5" t="inlineStr"/>
    </row>
    <row r="8" ht="42" customHeight="1">
      <c r="A8" s="4" t="inlineStr">
        <is>
          <t>U4</t>
        </is>
      </c>
      <c r="B8" s="4" t="inlineStr">
        <is>
          <t>User hạn chế</t>
        </is>
      </c>
      <c r="C8" s="4" t="inlineStr">
        <is>
          <t>ACTIVE, chỉ B1</t>
        </is>
      </c>
      <c r="D8" s="4" t="inlineStr">
        <is>
          <t>C1 / B1</t>
        </is>
      </c>
      <c r="E8" s="4" t="inlineStr">
        <is>
          <t>Negative scope</t>
        </is>
      </c>
      <c r="F8" s="4" t="inlineStr"/>
    </row>
    <row r="9" ht="42" customHeight="1">
      <c r="A9" s="5" t="inlineStr">
        <is>
          <t>U5</t>
        </is>
      </c>
      <c r="B9" s="5" t="inlineStr">
        <is>
          <t>User đa doanh nghiệp</t>
        </is>
      </c>
      <c r="C9" s="5" t="inlineStr">
        <is>
          <t>ACTIVE</t>
        </is>
      </c>
      <c r="D9" s="5" t="inlineStr">
        <is>
          <t>C1 + C2</t>
        </is>
      </c>
      <c r="E9" s="5" t="inlineStr">
        <is>
          <t>Company selection/switch</t>
        </is>
      </c>
      <c r="F9" s="5" t="inlineStr"/>
    </row>
    <row r="10" ht="42" customHeight="1">
      <c r="A10" s="4" t="inlineStr">
        <is>
          <t>U6</t>
        </is>
      </c>
      <c r="B10" s="4" t="inlineStr">
        <is>
          <t>User khóa/inactive</t>
        </is>
      </c>
      <c r="C10" s="4" t="inlineStr">
        <is>
          <t>LOCKED hoặc INACTIVE</t>
        </is>
      </c>
      <c r="D10" s="4" t="inlineStr">
        <is>
          <t>C1</t>
        </is>
      </c>
      <c r="E10" s="4" t="inlineStr">
        <is>
          <t>Negative authentication</t>
        </is>
      </c>
      <c r="F10" s="4" t="inlineStr"/>
    </row>
    <row r="11" ht="42" customHeight="1">
      <c r="A11" s="5" t="inlineStr">
        <is>
          <t>U7</t>
        </is>
      </c>
      <c r="B11" s="5" t="inlineStr">
        <is>
          <t>Admin duyệt</t>
        </is>
      </c>
      <c r="C11" s="5" t="inlineStr">
        <is>
          <t>COM.JOIN_REQUEST.VIEW/APPROVE</t>
        </is>
      </c>
      <c r="D11" s="5" t="inlineStr">
        <is>
          <t>C1</t>
        </is>
      </c>
      <c r="E11" s="5" t="inlineStr">
        <is>
          <t>Duyệt/từ chối join request</t>
        </is>
      </c>
      <c r="F11" s="5" t="inlineStr"/>
    </row>
    <row r="12" ht="42" customHeight="1">
      <c r="A12" s="4" t="inlineStr">
        <is>
          <t>U8</t>
        </is>
      </c>
      <c r="B12" s="4" t="inlineStr">
        <is>
          <t>User tenant khác</t>
        </is>
      </c>
      <c r="C12" s="4" t="inlineStr">
        <is>
          <t>ACTIVE</t>
        </is>
      </c>
      <c r="D12" s="4" t="inlineStr">
        <is>
          <t>C2</t>
        </is>
      </c>
      <c r="E12" s="4" t="inlineStr">
        <is>
          <t>Tenant isolation/IDOR</t>
        </is>
      </c>
      <c r="F12" s="4" t="inlineStr"/>
    </row>
    <row r="13" ht="42" customHeight="1">
      <c r="A13" s="5" t="inlineStr">
        <is>
          <t>C1</t>
        </is>
      </c>
      <c r="B13" s="5" t="inlineStr">
        <is>
          <t>Doanh nghiệp chính</t>
        </is>
      </c>
      <c r="C13" s="5" t="inlineStr">
        <is>
          <t>ACTIVE</t>
        </is>
      </c>
      <c r="D13" s="5" t="inlineStr">
        <is>
          <t>B1+B2+branch inactive</t>
        </is>
      </c>
      <c r="E13" s="5" t="inlineStr">
        <is>
          <t>Test tenant chính</t>
        </is>
      </c>
      <c r="F13" s="5" t="inlineStr"/>
    </row>
    <row r="14" ht="42" customHeight="1">
      <c r="A14" s="4" t="inlineStr">
        <is>
          <t>C2</t>
        </is>
      </c>
      <c r="B14" s="4" t="inlineStr">
        <is>
          <t>Doanh nghiệp khác</t>
        </is>
      </c>
      <c r="C14" s="4" t="inlineStr">
        <is>
          <t>ACTIVE</t>
        </is>
      </c>
      <c r="D14" s="4" t="inlineStr">
        <is>
          <t>B3</t>
        </is>
      </c>
      <c r="E14" s="4" t="inlineStr">
        <is>
          <t>Test cách ly tenant</t>
        </is>
      </c>
      <c r="F14" s="4" t="inlineStr"/>
    </row>
    <row r="15" ht="42" customHeight="1">
      <c r="A15" s="5" t="inlineStr">
        <is>
          <t>S1/S2</t>
        </is>
      </c>
      <c r="B15" s="5" t="inlineStr">
        <is>
          <t>Hai login session</t>
        </is>
      </c>
      <c r="C15" s="5" t="inlineStr">
        <is>
          <t>ACTIVE</t>
        </is>
      </c>
      <c r="D15" s="5" t="inlineStr">
        <is>
          <t>Hai thiết bị/IP/User-Agent</t>
        </is>
      </c>
      <c r="E15" s="5" t="inlineStr">
        <is>
          <t>Session revocation</t>
        </is>
      </c>
      <c r="F15" s="5" t="inlineStr"/>
    </row>
    <row r="16" ht="42" customHeight="1">
      <c r="A16" s="4" t="inlineStr">
        <is>
          <t>N1–N6</t>
        </is>
      </c>
      <c r="B16" s="4" t="inlineStr">
        <is>
          <t>Thông báo mẫu</t>
        </is>
      </c>
      <c r="C16" s="4" t="inlineStr">
        <is>
          <t>Unread/read/expired/archived/global/no-permission</t>
        </is>
      </c>
      <c r="D16" s="4" t="inlineStr">
        <is>
          <t>C1/C2</t>
        </is>
      </c>
      <c r="E16" s="4" t="inlineStr">
        <is>
          <t>UC-COM-09</t>
        </is>
      </c>
      <c r="F16" s="4" t="inlineStr"/>
    </row>
    <row r="17" ht="42" customHeight="1">
      <c r="A17" s="5" t="inlineStr">
        <is>
          <t>W1–W6</t>
        </is>
      </c>
      <c r="B17" s="5" t="inlineStr">
        <is>
          <t>Work-item mẫu</t>
        </is>
      </c>
      <c r="C17" s="5" t="inlineStr">
        <is>
          <t>Pending/in-progress/overdue/completed/cancelled</t>
        </is>
      </c>
      <c r="D17" s="5" t="inlineStr">
        <is>
          <t>C1/B1/B2</t>
        </is>
      </c>
      <c r="E17" s="5" t="inlineStr">
        <is>
          <t>UC-COM-11</t>
        </is>
      </c>
      <c r="F17" s="5" t="inlineStr"/>
    </row>
    <row r="18" ht="42" customHeight="1">
      <c r="A18" s="4" t="inlineStr">
        <is>
          <t>A1–A4</t>
        </is>
      </c>
      <c r="B18" s="4" t="inlineStr">
        <is>
          <t>Cấu hình AI</t>
        </is>
      </c>
      <c r="C18" s="4" t="inlineStr">
        <is>
          <t>OFF/ON-no-data/success/error-timeout</t>
        </is>
      </c>
      <c r="D18" s="4" t="inlineStr">
        <is>
          <t>C1</t>
        </is>
      </c>
      <c r="E18" s="4" t="inlineStr">
        <is>
          <t>UC-COM-12</t>
        </is>
      </c>
      <c r="F18" s="4" t="inlineStr"/>
    </row>
  </sheetData>
  <autoFilter ref="A3:F18"/>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15" customWidth="1" min="1" max="1"/>
    <col width="38" customWidth="1" min="2" max="2"/>
    <col width="18" customWidth="1" min="3" max="3"/>
    <col width="58" customWidth="1" min="4" max="4"/>
    <col width="14" customWidth="1" min="5" max="5"/>
    <col width="95" customWidth="1" min="6" max="6"/>
  </cols>
  <sheetData>
    <row r="1" ht="32" customHeight="1">
      <c r="A1" s="1" t="inlineStr">
        <is>
          <t>MA TRẬN TRUY VẾT</t>
        </is>
      </c>
    </row>
    <row r="2" ht="30" customHeight="1">
      <c r="A2" s="2" t="inlineStr">
        <is>
          <t>Liên kết Use Case → nguồn Notion → API → test case</t>
        </is>
      </c>
    </row>
    <row r="3" ht="38" customHeight="1">
      <c r="A3" s="3" t="inlineStr">
        <is>
          <t>UC ID</t>
        </is>
      </c>
      <c r="B3" s="3" t="inlineStr">
        <is>
          <t>Tên use case</t>
        </is>
      </c>
      <c r="C3" s="3" t="inlineStr">
        <is>
          <t>Nguồn Notion</t>
        </is>
      </c>
      <c r="D3" s="3" t="inlineStr">
        <is>
          <t>API chính</t>
        </is>
      </c>
      <c r="E3" s="3" t="inlineStr">
        <is>
          <t>Số test case</t>
        </is>
      </c>
      <c r="F3" s="3" t="inlineStr">
        <is>
          <t>Test Case IDs</t>
        </is>
      </c>
    </row>
    <row r="4" ht="72" customHeight="1">
      <c r="A4" s="4" t="inlineStr">
        <is>
          <t>UC-COM-01</t>
        </is>
      </c>
      <c r="B4" s="4" t="inlineStr">
        <is>
          <t>Đăng ký và xác thực tài khoản</t>
        </is>
      </c>
      <c r="C4" s="6" t="inlineStr">
        <is>
          <t>Mở đặc tả</t>
        </is>
      </c>
      <c r="D4" s="4" t="inlineStr">
        <is>
          <t>POST /api/v1/common/auth/register/
POST /api/v1/common/auth/verify-registration/
POST /api/v1/common/auth/resend-verification/
POST /api/v1/common/auth/change-registration-email/</t>
        </is>
      </c>
      <c r="E4" s="4" t="n">
        <v>14</v>
      </c>
      <c r="F4" s="4" t="inlineStr">
        <is>
          <t>COM01-01, COM01-02, COM01-03, COM01-04, COM01-05, COM01-06, COM01-07, COM01-08, COM01-09, COM01-10, COM01-11, COM01-12, COM01-13, COM01-14</t>
        </is>
      </c>
    </row>
    <row r="5" ht="72" customHeight="1">
      <c r="A5" s="5" t="inlineStr">
        <is>
          <t>UC-COM-02</t>
        </is>
      </c>
      <c r="B5" s="5" t="inlineStr">
        <is>
          <t>Gửi yêu cầu tham gia doanh nghiệp</t>
        </is>
      </c>
      <c r="C5" s="8" t="inlineStr">
        <is>
          <t>Mở đặc tả</t>
        </is>
      </c>
      <c r="D5" s="5" t="inlineStr">
        <is>
          <t>GET /api/v1/common/companies/search/
GET|POST /api/v1/common/join-requests/
POST /api/v1/common/join-requests/{id}/cancel/
GET /api/v1/common/company-join-requests/
POST /api/v1/common/company-join-requests/{id}/decide/</t>
        </is>
      </c>
      <c r="E5" s="5" t="n">
        <v>14</v>
      </c>
      <c r="F5" s="5" t="inlineStr">
        <is>
          <t>COM02-01, COM02-02, COM02-03, COM02-04, COM02-05, COM02-06, COM02-07, COM02-08, COM02-09, COM02-10, COM02-11, COM02-12, COM02-13, COM02-14</t>
        </is>
      </c>
    </row>
    <row r="6" ht="72" customHeight="1">
      <c r="A6" s="4" t="inlineStr">
        <is>
          <t>UC-COM-03</t>
        </is>
      </c>
      <c r="B6" s="4" t="inlineStr">
        <is>
          <t>Đăng nhập</t>
        </is>
      </c>
      <c r="C6" s="6" t="inlineStr">
        <is>
          <t>Mở đặc tả</t>
        </is>
      </c>
      <c r="D6" s="4" t="inlineStr">
        <is>
          <t>POST /api/v1/common/auth/login/
POST /api/token/refresh/</t>
        </is>
      </c>
      <c r="E6" s="4" t="n">
        <v>13</v>
      </c>
      <c r="F6" s="4" t="inlineStr">
        <is>
          <t>COM03-01, COM03-02, COM03-03, COM03-04, COM03-05, COM03-06, COM03-07, COM03-08, COM03-09, COM03-10, COM03-11, COM03-12, COM03-13</t>
        </is>
      </c>
    </row>
    <row r="7" ht="72" customHeight="1">
      <c r="A7" s="5" t="inlineStr">
        <is>
          <t>UC-COM-04</t>
        </is>
      </c>
      <c r="B7" s="5" t="inlineStr">
        <is>
          <t>Đăng xuất</t>
        </is>
      </c>
      <c r="C7" s="8" t="inlineStr">
        <is>
          <t>Mở đặc tả</t>
        </is>
      </c>
      <c r="D7" s="5" t="inlineStr">
        <is>
          <t>POST /api/v1/common/auth/logout/</t>
        </is>
      </c>
      <c r="E7" s="5" t="n">
        <v>7</v>
      </c>
      <c r="F7" s="5" t="inlineStr">
        <is>
          <t>COM04-01, COM04-02, COM04-03, COM04-04, COM04-05, COM04-06, COM04-07</t>
        </is>
      </c>
    </row>
    <row r="8" ht="72" customHeight="1">
      <c r="A8" s="4" t="inlineStr">
        <is>
          <t>UC-COM-05</t>
        </is>
      </c>
      <c r="B8" s="4" t="inlineStr">
        <is>
          <t>Quên và đặt lại mật khẩu</t>
        </is>
      </c>
      <c r="C8" s="6" t="inlineStr">
        <is>
          <t>Mở đặc tả</t>
        </is>
      </c>
      <c r="D8" s="4" t="inlineStr">
        <is>
          <t>POST /api/v1/common/auth/forgot-password/
POST /api/v1/common/auth/reset-password/</t>
        </is>
      </c>
      <c r="E8" s="4" t="n">
        <v>11</v>
      </c>
      <c r="F8" s="4" t="inlineStr">
        <is>
          <t>COM05-01, COM05-02, COM05-03, COM05-04, COM05-05, COM05-06, COM05-07, COM05-08, COM05-09, COM05-10, COM05-11</t>
        </is>
      </c>
    </row>
    <row r="9" ht="72" customHeight="1">
      <c r="A9" s="5" t="inlineStr">
        <is>
          <t>UC-COM-06</t>
        </is>
      </c>
      <c r="B9" s="5" t="inlineStr">
        <is>
          <t>Đổi mật khẩu</t>
        </is>
      </c>
      <c r="C9" s="8" t="inlineStr">
        <is>
          <t>Mở đặc tả</t>
        </is>
      </c>
      <c r="D9" s="5" t="inlineStr">
        <is>
          <t>POST /api/v1/common/auth/change-password/</t>
        </is>
      </c>
      <c r="E9" s="5" t="n">
        <v>9</v>
      </c>
      <c r="F9" s="5" t="inlineStr">
        <is>
          <t>COM06-01, COM06-02, COM06-03, COM06-04, COM06-05, COM06-06, COM06-07, COM06-08, COM06-09</t>
        </is>
      </c>
    </row>
    <row r="10" ht="72" customHeight="1">
      <c r="A10" s="4" t="inlineStr">
        <is>
          <t>UC-COM-07</t>
        </is>
      </c>
      <c r="B10" s="4" t="inlineStr">
        <is>
          <t>Quản lý tài khoản cá nhân</t>
        </is>
      </c>
      <c r="C10" s="6" t="inlineStr">
        <is>
          <t>Mở đặc tả</t>
        </is>
      </c>
      <c r="D10" s="4" t="inlineStr">
        <is>
          <t>GET|PATCH /api/v1/common/profile/
POST /api/v1/common/profile/confirm-email/</t>
        </is>
      </c>
      <c r="E10" s="4" t="n">
        <v>12</v>
      </c>
      <c r="F10" s="4" t="inlineStr">
        <is>
          <t>COM07-01, COM07-02, COM07-03, COM07-04, COM07-05, COM07-06, COM07-07, COM07-08, COM07-09, COM07-10, COM07-11, COM07-12</t>
        </is>
      </c>
    </row>
    <row r="11" ht="72" customHeight="1">
      <c r="A11" s="5" t="inlineStr">
        <is>
          <t>UC-COM-08</t>
        </is>
      </c>
      <c r="B11" s="5" t="inlineStr">
        <is>
          <t>Chuyển phạm vi làm việc</t>
        </is>
      </c>
      <c r="C11" s="8" t="inlineStr">
        <is>
          <t>Mở đặc tả</t>
        </is>
      </c>
      <c r="D11" s="5" t="inlineStr">
        <is>
          <t>GET /api/v1/common/scopes/
GET /api/v1/common/companies/mine/
POST /api/v1/common/companies/switch/</t>
        </is>
      </c>
      <c r="E11" s="5" t="n">
        <v>11</v>
      </c>
      <c r="F11" s="5" t="inlineStr">
        <is>
          <t>COM08-01, COM08-02, COM08-03, COM08-04, COM08-05, COM08-06, COM08-07, COM08-08, COM08-09, COM08-10, COM08-11</t>
        </is>
      </c>
    </row>
    <row r="12" ht="72" customHeight="1">
      <c r="A12" s="4" t="inlineStr">
        <is>
          <t>UC-COM-09</t>
        </is>
      </c>
      <c r="B12" s="4" t="inlineStr">
        <is>
          <t>Xem và xử lý thông báo</t>
        </is>
      </c>
      <c r="C12" s="6" t="inlineStr">
        <is>
          <t>Mở đặc tả</t>
        </is>
      </c>
      <c r="D12" s="4" t="inlineStr">
        <is>
          <t>GET /api/v1/common/notifications/
POST /api/v1/common/notifications/{id}/{read|unread|archive|open}/
POST /api/v1/common/notifications/read-all/
GET /api/v1/common/notifications/unread-count/</t>
        </is>
      </c>
      <c r="E12" s="4" t="n">
        <v>12</v>
      </c>
      <c r="F12" s="4" t="inlineStr">
        <is>
          <t>COM09-01, COM09-02, COM09-03, COM09-04, COM09-05, COM09-06, COM09-07, COM09-08, COM09-09, COM09-10, COM09-11, COM09-12</t>
        </is>
      </c>
    </row>
    <row r="13" ht="72" customHeight="1">
      <c r="A13" s="5" t="inlineStr">
        <is>
          <t>UC-COM-10</t>
        </is>
      </c>
      <c r="B13" s="5" t="inlineStr">
        <is>
          <t>Tìm kiếm toàn hệ thống</t>
        </is>
      </c>
      <c r="C13" s="8" t="inlineStr">
        <is>
          <t>Mở đặc tả</t>
        </is>
      </c>
      <c r="D13" s="5" t="inlineStr">
        <is>
          <t>GET /api/v1/common/search/
POST /api/v1/common/search/open/</t>
        </is>
      </c>
      <c r="E13" s="5" t="n">
        <v>11</v>
      </c>
      <c r="F13" s="5" t="inlineStr">
        <is>
          <t>COM10-01, COM10-02, COM10-03, COM10-04, COM10-05, COM10-06, COM10-07, COM10-08, COM10-09, COM10-10, COM10-11</t>
        </is>
      </c>
    </row>
    <row r="14" ht="72" customHeight="1">
      <c r="A14" s="4" t="inlineStr">
        <is>
          <t>UC-COM-11</t>
        </is>
      </c>
      <c r="B14" s="4" t="inlineStr">
        <is>
          <t>Xem việc cần xử lý</t>
        </is>
      </c>
      <c r="C14" s="6" t="inlineStr">
        <is>
          <t>Mở đặc tả</t>
        </is>
      </c>
      <c r="D14" s="4" t="inlineStr">
        <is>
          <t>GET /api/v1/common/work-items/
GET /api/v1/common/work-items/count/
POST /api/v1/common/work-items/{id}/open/
GET /api/v1/common/work-items/{id}/history/</t>
        </is>
      </c>
      <c r="E14" s="4" t="n">
        <v>12</v>
      </c>
      <c r="F14" s="4" t="inlineStr">
        <is>
          <t>COM11-01, COM11-02, COM11-03, COM11-04, COM11-05, COM11-06, COM11-07, COM11-08, COM11-09, COM11-10, COM11-11, COM11-12</t>
        </is>
      </c>
    </row>
    <row r="15" ht="72" customHeight="1">
      <c r="A15" s="5" t="inlineStr">
        <is>
          <t>UC-COM-12</t>
        </is>
      </c>
      <c r="B15" s="5" t="inlineStr">
        <is>
          <t>Sử dụng AI Assistant</t>
        </is>
      </c>
      <c r="C15" s="8" t="inlineStr">
        <is>
          <t>Mở đặc tả</t>
        </is>
      </c>
      <c r="D15" s="5" t="inlineStr">
        <is>
          <t>GET|POST /api/v1/common/ai-conversations/
POST /api/v1/common/ai/query/
POST /api/v1/common/ai/{id}/{confirm|feedback}/
POST /api/v1/common/ai/{id}/source/{index}/</t>
        </is>
      </c>
      <c r="E15" s="5" t="n">
        <v>16</v>
      </c>
      <c r="F15" s="5" t="inlineStr">
        <is>
          <t>COM12-01, COM12-02, COM12-03, COM12-04, COM12-05, COM12-06, COM12-07, COM12-08, COM12-09, COM12-10, COM12-11, COM12-12, COM12-13, COM12-14, COM12-15, COM12-16</t>
        </is>
      </c>
    </row>
  </sheetData>
  <autoFilter ref="A3:F15"/>
  <mergeCells count="2">
    <mergeCell ref="A2:F2"/>
    <mergeCell ref="A1:F1"/>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7"/>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UC-COM-01 – Đăng ký và xác thực tài khoản</t>
        </is>
      </c>
    </row>
    <row r="2" ht="30" customHeight="1">
      <c r="A2" s="2" t="inlineStr">
        <is>
          <t>Nguồn: COMMON_SERVICES_TEST_PLAN.md | 14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COM01-01</t>
        </is>
      </c>
      <c r="C4" s="4" t="inlineStr">
        <is>
          <t>UC-COM-01</t>
        </is>
      </c>
      <c r="D4" s="4" t="inlineStr">
        <is>
          <t>Đăng ký đủ dữ liệu hợp lệ và chấp nhận điều khoản</t>
        </is>
      </c>
      <c r="E4" s="15" t="inlineStr">
        <is>
          <t>P0</t>
        </is>
      </c>
      <c r="F4" s="4" t="inlineStr">
        <is>
          <t>Functional</t>
        </is>
      </c>
      <c r="G4" s="4" t="inlineStr">
        <is>
          <t>API + UI/E2E</t>
        </is>
      </c>
      <c r="H4" s="4" t="inlineStr">
        <is>
          <t>POST /api/v1/common/auth/register/
POST /api/v1/common/auth/verify-registration/
POST /api/v1/common/auth/resend-verification/
POST /api/v1/common/auth/change-registration-email/</t>
        </is>
      </c>
      <c r="I4" s="4" t="inlineStr">
        <is>
          <t>Email/username/phone chưa tồn tại, trừ khi test case yêu cầu dữ liệu trùng. Email sandbox hoạt động.</t>
        </is>
      </c>
      <c r="J4" s="4" t="inlineStr">
        <is>
          <t>email=qa.com01+&lt;timestamp&gt;@example.com; username=qa_com01_&lt;timestamp&gt;; phone=0901&lt;6 số&gt;; password=StrongPass!2026</t>
        </is>
      </c>
      <c r="K4" s="4" t="inlineStr">
        <is>
          <t>1. Chuẩn bị dữ liệu đúng mục 'Điều kiện trước' và ghi lại các ID ban đầu.
2. Mở màn hình/API tương ứng ở trạng thái chưa xác thực, trừ khi kịch bản yêu cầu session có sẵn.
3. Thực hiện kịch bản: Đăng ký đủ dữ liệu hợp lệ và chấp nhận điều khoản.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4" s="4" t="inlineStr">
        <is>
          <t>201; tạo user inactive, IAM account, preference, session state, challenge REGISTER; email OTP được gửi; không trả password/OTP</t>
        </is>
      </c>
      <c r="M4" s="4" t="inlineStr">
        <is>
          <t>User, IAM account, preference và challenge nhất quán; không có user rác khi validation lỗi.</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COM01-02</t>
        </is>
      </c>
      <c r="C5" s="5" t="inlineStr">
        <is>
          <t>UC-COM-01</t>
        </is>
      </c>
      <c r="D5" s="5" t="inlineStr">
        <is>
          <t>Xác thực bằng challenge và OTP đúng</t>
        </is>
      </c>
      <c r="E5" s="15" t="inlineStr">
        <is>
          <t>P0</t>
        </is>
      </c>
      <c r="F5" s="5" t="inlineStr">
        <is>
          <t>Functional</t>
        </is>
      </c>
      <c r="G5" s="5" t="inlineStr">
        <is>
          <t>API + UI/E2E</t>
        </is>
      </c>
      <c r="H5" s="5" t="inlineStr">
        <is>
          <t>POST /api/v1/common/auth/register/
POST /api/v1/common/auth/verify-registration/
POST /api/v1/common/auth/resend-verification/
POST /api/v1/common/auth/change-registration-email/</t>
        </is>
      </c>
      <c r="I5" s="5" t="inlineStr">
        <is>
          <t>Email/username/phone chưa tồn tại, trừ khi test case yêu cầu dữ liệu trùng. Email sandbox hoạt động.</t>
        </is>
      </c>
      <c r="J5" s="5" t="inlineStr">
        <is>
          <t>email=qa.com01+&lt;timestamp&gt;@example.com; username=qa_com01_&lt;timestamp&gt;; phone=0901&lt;6 số&gt;; password=StrongPass!2026
Bổ sung: OTP đúng: lấy từ email sandbox; OTP sai: 000000; challenge UUID từ response</t>
        </is>
      </c>
      <c r="K5" s="5" t="inlineStr">
        <is>
          <t>1. Chuẩn bị dữ liệu đúng mục 'Điều kiện trước' và ghi lại các ID ban đầu.
2. Mở màn hình/API tương ứng ở trạng thái chưa xác thực, trừ khi kịch bản yêu cầu session có sẵn.
3. Thực hiện kịch bản: Xác thực bằng challenge và OTP đúng.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5" s="5" t="inlineStr">
        <is>
          <t>200; user ACTIVE, email được đánh dấu verified, OTP consumed, trả access/refresh và bước tiếp theo</t>
        </is>
      </c>
      <c r="M5" s="5" t="inlineStr">
        <is>
          <t>User, IAM account, preference và challenge nhất quán; không có user rác khi validation lỗi.</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COM01-03</t>
        </is>
      </c>
      <c r="C6" s="4" t="inlineStr">
        <is>
          <t>UC-COM-01</t>
        </is>
      </c>
      <c r="D6" s="4" t="inlineStr">
        <is>
          <t>Nhập sai OTP lần 1–4</t>
        </is>
      </c>
      <c r="E6" s="15" t="inlineStr">
        <is>
          <t>P0</t>
        </is>
      </c>
      <c r="F6" s="4" t="inlineStr">
        <is>
          <t>Functional</t>
        </is>
      </c>
      <c r="G6" s="4" t="inlineStr">
        <is>
          <t>API + UI/E2E</t>
        </is>
      </c>
      <c r="H6" s="4" t="inlineStr">
        <is>
          <t>POST /api/v1/common/auth/register/
POST /api/v1/common/auth/verify-registration/
POST /api/v1/common/auth/resend-verification/
POST /api/v1/common/auth/change-registration-email/</t>
        </is>
      </c>
      <c r="I6" s="4" t="inlineStr">
        <is>
          <t>Email/username/phone chưa tồn tại, trừ khi test case yêu cầu dữ liệu trùng. Email sandbox hoạt động.</t>
        </is>
      </c>
      <c r="J6" s="4" t="inlineStr">
        <is>
          <t>email=qa.com01+&lt;timestamp&gt;@example.com; username=qa_com01_&lt;timestamp&gt;; phone=0901&lt;6 số&gt;; password=StrongPass!2026
Bổ sung: OTP đúng: lấy từ email sandbox; OTP sai: 000000; challenge UUID từ response; AI stub hỗ trợ success, timeout, HTTP 500, invalid JSON và oversized response</t>
        </is>
      </c>
      <c r="K6" s="4" t="inlineStr">
        <is>
          <t>1. Chuẩn bị dữ liệu đúng mục 'Điều kiện trước' và ghi lại các ID ban đầu.
2. Mở màn hình/API tương ứng ở trạng thái chưa xác thực, trừ khi kịch bản yêu cầu session có sẵn.
3. Thực hiện kịch bản: Nhập sai OTP lần 1–4.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6" s="4" t="inlineStr">
        <is>
          <t>400; không kích hoạt tài khoản; số lần thử tăng đúng</t>
        </is>
      </c>
      <c r="M6" s="4" t="inlineStr">
        <is>
          <t>User, IAM account, preference và challenge nhất quán; không có user rác khi validation lỗi.</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COM01-04</t>
        </is>
      </c>
      <c r="C7" s="5" t="inlineStr">
        <is>
          <t>UC-COM-01</t>
        </is>
      </c>
      <c r="D7" s="5" t="inlineStr">
        <is>
          <t>Nhập sai OTP lần 5 rồi nhập mã đúng</t>
        </is>
      </c>
      <c r="E7" s="15" t="inlineStr">
        <is>
          <t>P0</t>
        </is>
      </c>
      <c r="F7" s="5" t="inlineStr">
        <is>
          <t>Functional</t>
        </is>
      </c>
      <c r="G7" s="5" t="inlineStr">
        <is>
          <t>API + UI/E2E</t>
        </is>
      </c>
      <c r="H7" s="5" t="inlineStr">
        <is>
          <t>POST /api/v1/common/auth/register/
POST /api/v1/common/auth/verify-registration/
POST /api/v1/common/auth/resend-verification/
POST /api/v1/common/auth/change-registration-email/</t>
        </is>
      </c>
      <c r="I7" s="5" t="inlineStr">
        <is>
          <t>Email/username/phone chưa tồn tại, trừ khi test case yêu cầu dữ liệu trùng. Email sandbox hoạt động.</t>
        </is>
      </c>
      <c r="J7" s="5" t="inlineStr">
        <is>
          <t>email=qa.com01+&lt;timestamp&gt;@example.com; username=qa_com01_&lt;timestamp&gt;; phone=0901&lt;6 số&gt;; password=StrongPass!2026
Bổ sung: OTP đúng: lấy từ email sandbox; OTP sai: 000000; challenge UUID từ response; AI stub hỗ trợ success, timeout, HTTP 500, invalid JSON và oversized response</t>
        </is>
      </c>
      <c r="K7" s="5" t="inlineStr">
        <is>
          <t>1. Chuẩn bị dữ liệu đúng mục 'Điều kiện trước' và ghi lại các ID ban đầu.
2. Mở màn hình/API tương ứng ở trạng thái chưa xác thực, trừ khi kịch bản yêu cầu session có sẵn.
3. Thực hiện kịch bản: Nhập sai OTP lần 5 rồi nhập mã đúng.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7" s="5" t="inlineStr">
        <is>
          <t>Challenge bị vô hiệu; mã đúng sau đó vẫn bị từ chối</t>
        </is>
      </c>
      <c r="M7" s="5" t="inlineStr">
        <is>
          <t>User, IAM account, preference và challenge nhất quán; không có user rác khi validation lỗi.</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COM01-05</t>
        </is>
      </c>
      <c r="C8" s="4" t="inlineStr">
        <is>
          <t>UC-COM-01</t>
        </is>
      </c>
      <c r="D8" s="4" t="inlineStr">
        <is>
          <t>OTP hết hạn hoặc đã dùng</t>
        </is>
      </c>
      <c r="E8" s="15" t="inlineStr">
        <is>
          <t>P0</t>
        </is>
      </c>
      <c r="F8" s="4" t="inlineStr">
        <is>
          <t>Functional</t>
        </is>
      </c>
      <c r="G8" s="4" t="inlineStr">
        <is>
          <t>API + UI/E2E</t>
        </is>
      </c>
      <c r="H8" s="4" t="inlineStr">
        <is>
          <t>POST /api/v1/common/auth/register/
POST /api/v1/common/auth/verify-registration/
POST /api/v1/common/auth/resend-verification/
POST /api/v1/common/auth/change-registration-email/</t>
        </is>
      </c>
      <c r="I8" s="4" t="inlineStr">
        <is>
          <t>Email/username/phone chưa tồn tại, trừ khi test case yêu cầu dữ liệu trùng. Email sandbox hoạt động.</t>
        </is>
      </c>
      <c r="J8" s="4" t="inlineStr">
        <is>
          <t>email=qa.com01+&lt;timestamp&gt;@example.com; username=qa_com01_&lt;timestamp&gt;; phone=0901&lt;6 số&gt;; password=StrongPass!2026
Bổ sung: OTP đúng: lấy từ email sandbox; OTP sai: 000000; challenge UUID từ response; Điều chỉnh expires_at về quá khứ bằng fixture/admin test</t>
        </is>
      </c>
      <c r="K8" s="4" t="inlineStr">
        <is>
          <t>1. Chuẩn bị dữ liệu đúng mục 'Điều kiện trước' và ghi lại các ID ban đầu.
2. Mở màn hình/API tương ứng ở trạng thái chưa xác thực, trừ khi kịch bản yêu cầu session có sẵn.
3. Thực hiện kịch bản: OTP hết hạn hoặc đã dùng.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8" s="4" t="inlineStr">
        <is>
          <t>400; không kích hoạt; không thể replay OTP</t>
        </is>
      </c>
      <c r="M8" s="4" t="inlineStr">
        <is>
          <t>User, IAM account, preference và challenge nhất quán; không có user rác khi validation lỗi.</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COM01-06</t>
        </is>
      </c>
      <c r="C9" s="5" t="inlineStr">
        <is>
          <t>UC-COM-01</t>
        </is>
      </c>
      <c r="D9" s="5" t="inlineStr">
        <is>
          <t>Gửi lại OTP sau cooldown</t>
        </is>
      </c>
      <c r="E9" s="19" t="inlineStr">
        <is>
          <t>P1</t>
        </is>
      </c>
      <c r="F9" s="5" t="inlineStr">
        <is>
          <t>Functional</t>
        </is>
      </c>
      <c r="G9" s="5" t="inlineStr">
        <is>
          <t>API + UI/E2E</t>
        </is>
      </c>
      <c r="H9" s="5" t="inlineStr">
        <is>
          <t>POST /api/v1/common/auth/register/
POST /api/v1/common/auth/verify-registration/
POST /api/v1/common/auth/resend-verification/
POST /api/v1/common/auth/change-registration-email/</t>
        </is>
      </c>
      <c r="I9" s="5" t="inlineStr">
        <is>
          <t>Email/username/phone chưa tồn tại, trừ khi test case yêu cầu dữ liệu trùng. Email sandbox hoạt động.</t>
        </is>
      </c>
      <c r="J9" s="5" t="inlineStr">
        <is>
          <t>email=qa.com01+&lt;timestamp&gt;@example.com; username=qa_com01_&lt;timestamp&gt;; phone=0901&lt;6 số&gt;; password=StrongPass!2026
Bổ sung: OTP đúng: lấy từ email sandbox; OTP sai: 000000; challenge UUID từ response</t>
        </is>
      </c>
      <c r="K9" s="5" t="inlineStr">
        <is>
          <t>1. Chuẩn bị dữ liệu đúng mục 'Điều kiện trước' và ghi lại các ID ban đầu.
2. Mở màn hình/API tương ứng ở trạng thái chưa xác thực, trừ khi kịch bản yêu cầu session có sẵn.
3. Thực hiện kịch bản: Gửi lại OTP sau cooldown.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9" s="5" t="inlineStr">
        <is>
          <t>202; challenge cũ consumed, challenge mới có hiệu lực, gửi đúng email</t>
        </is>
      </c>
      <c r="M9" s="5" t="inlineStr">
        <is>
          <t>User, IAM account, preference và challenge nhất quán; không có user rác khi validation lỗi.</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COM01-07</t>
        </is>
      </c>
      <c r="C10" s="4" t="inlineStr">
        <is>
          <t>UC-COM-01</t>
        </is>
      </c>
      <c r="D10" s="4" t="inlineStr">
        <is>
          <t>Gửi lại OTP trong 60 giây</t>
        </is>
      </c>
      <c r="E10" s="19" t="inlineStr">
        <is>
          <t>P1</t>
        </is>
      </c>
      <c r="F10" s="4" t="inlineStr">
        <is>
          <t>Functional</t>
        </is>
      </c>
      <c r="G10" s="4" t="inlineStr">
        <is>
          <t>API + UI/E2E</t>
        </is>
      </c>
      <c r="H10" s="4" t="inlineStr">
        <is>
          <t>POST /api/v1/common/auth/register/
POST /api/v1/common/auth/verify-registration/
POST /api/v1/common/auth/resend-verification/
POST /api/v1/common/auth/change-registration-email/</t>
        </is>
      </c>
      <c r="I10" s="4" t="inlineStr">
        <is>
          <t>Email/username/phone chưa tồn tại, trừ khi test case yêu cầu dữ liệu trùng. Email sandbox hoạt động.</t>
        </is>
      </c>
      <c r="J10" s="4" t="inlineStr">
        <is>
          <t>email=qa.com01+&lt;timestamp&gt;@example.com; username=qa_com01_&lt;timestamp&gt;; phone=0901&lt;6 số&gt;; password=StrongPass!2026
Bổ sung: OTP đúng: lấy từ email sandbox; OTP sai: 000000; challenge UUID từ response</t>
        </is>
      </c>
      <c r="K10" s="4" t="inlineStr">
        <is>
          <t>1. Chuẩn bị dữ liệu đúng mục 'Điều kiện trước' và ghi lại các ID ban đầu.
2. Mở màn hình/API tương ứng ở trạng thái chưa xác thực, trừ khi kịch bản yêu cầu session có sẵn.
3. Thực hiện kịch bản: Gửi lại OTP trong 60 giây.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0" s="4" t="inlineStr">
        <is>
          <t>400 và có retry_after; không gửi thêm email</t>
        </is>
      </c>
      <c r="M10" s="4" t="inlineStr">
        <is>
          <t>User, IAM account, preference và challenge nhất quán; không có user rác khi validation lỗi.</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COM01-08</t>
        </is>
      </c>
      <c r="C11" s="5" t="inlineStr">
        <is>
          <t>UC-COM-01</t>
        </is>
      </c>
      <c r="D11" s="5" t="inlineStr">
        <is>
          <t>Email/username/số điện thoại trùng, kể cả khác hoa thường</t>
        </is>
      </c>
      <c r="E11" s="15" t="inlineStr">
        <is>
          <t>P0</t>
        </is>
      </c>
      <c r="F11" s="5" t="inlineStr">
        <is>
          <t>Functional</t>
        </is>
      </c>
      <c r="G11" s="5" t="inlineStr">
        <is>
          <t>API + UI/E2E</t>
        </is>
      </c>
      <c r="H11" s="5" t="inlineStr">
        <is>
          <t>POST /api/v1/common/auth/register/
POST /api/v1/common/auth/verify-registration/
POST /api/v1/common/auth/resend-verification/
POST /api/v1/common/auth/change-registration-email/</t>
        </is>
      </c>
      <c r="I11" s="5" t="inlineStr">
        <is>
          <t>Email/username/phone chưa tồn tại, trừ khi test case yêu cầu dữ liệu trùng. Email sandbox hoạt động.</t>
        </is>
      </c>
      <c r="J11" s="5" t="inlineStr">
        <is>
          <t>email=qa.com01+&lt;timestamp&gt;@example.com; username=qa_com01_&lt;timestamp&gt;; phone=0901&lt;6 số&gt;; password=StrongPass!2026
Bổ sung: Chuẩn bị trước một bản ghi có cùng giá trị cần kiểm tra; AI stub hỗ trợ success, timeout, HTTP 500, invalid JSON và oversized response</t>
        </is>
      </c>
      <c r="K11" s="5" t="inlineStr">
        <is>
          <t>1. Chuẩn bị dữ liệu đúng mục 'Điều kiện trước' và ghi lại các ID ban đầu.
2. Mở màn hình/API tương ứng ở trạng thái chưa xác thực, trừ khi kịch bản yêu cầu session có sẵn.
3. Thực hiện kịch bản: Email/username/số điện thoại trùng, kể cả khác hoa thường.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1" s="5" t="inlineStr">
        <is>
          <t>400; không tạo bản ghi dở dang</t>
        </is>
      </c>
      <c r="M11" s="5" t="inlineStr">
        <is>
          <t>User, IAM account, preference và challenge nhất quán; không có user rác khi validation lỗi.</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COM01-09</t>
        </is>
      </c>
      <c r="C12" s="4" t="inlineStr">
        <is>
          <t>UC-COM-01</t>
        </is>
      </c>
      <c r="D12" s="4" t="inlineStr">
        <is>
          <t>Mật khẩu yếu, xác nhận sai, chưa chấp nhận điều khoản</t>
        </is>
      </c>
      <c r="E12" s="19" t="inlineStr">
        <is>
          <t>P1</t>
        </is>
      </c>
      <c r="F12" s="4" t="inlineStr">
        <is>
          <t>Functional</t>
        </is>
      </c>
      <c r="G12" s="4" t="inlineStr">
        <is>
          <t>API + UI/E2E</t>
        </is>
      </c>
      <c r="H12" s="4" t="inlineStr">
        <is>
          <t>POST /api/v1/common/auth/register/
POST /api/v1/common/auth/verify-registration/
POST /api/v1/common/auth/resend-verification/
POST /api/v1/common/auth/change-registration-email/</t>
        </is>
      </c>
      <c r="I12" s="4" t="inlineStr">
        <is>
          <t>Email/username/phone chưa tồn tại, trừ khi test case yêu cầu dữ liệu trùng. Email sandbox hoạt động.</t>
        </is>
      </c>
      <c r="J12" s="4" t="inlineStr">
        <is>
          <t>email=qa.com01+&lt;timestamp&gt;@example.com; username=qa_com01_&lt;timestamp&gt;; phone=0901&lt;6 số&gt;; password=StrongPass!2026
Bổ sung: password yếu: 12345678 / password / khongKyTuDacBiet1; AI stub hỗ trợ success, timeout, HTTP 500, invalid JSON và oversized response</t>
        </is>
      </c>
      <c r="K12" s="4" t="inlineStr">
        <is>
          <t>1. Chuẩn bị dữ liệu đúng mục 'Điều kiện trước' và ghi lại các ID ban đầu.
2. Mở màn hình/API tương ứng ở trạng thái chưa xác thực, trừ khi kịch bản yêu cầu session có sẵn.
3. Thực hiện kịch bản: Mật khẩu yếu, xác nhận sai, chưa chấp nhận điều khoản.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2" s="4" t="inlineStr">
        <is>
          <t>400 theo đúng field; không tạo user</t>
        </is>
      </c>
      <c r="M12" s="4" t="inlineStr">
        <is>
          <t>User, IAM account, preference và challenge nhất quán; không có user rác khi validation lỗi.</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COM01-10</t>
        </is>
      </c>
      <c r="C13" s="5" t="inlineStr">
        <is>
          <t>UC-COM-01</t>
        </is>
      </c>
      <c r="D13" s="5" t="inlineStr">
        <is>
          <t>Email/phone sai định dạng; tên chỉ có khoảng trắng; field vượt max length</t>
        </is>
      </c>
      <c r="E13" s="19" t="inlineStr">
        <is>
          <t>P1</t>
        </is>
      </c>
      <c r="F13" s="5" t="inlineStr">
        <is>
          <t>Functional</t>
        </is>
      </c>
      <c r="G13" s="5" t="inlineStr">
        <is>
          <t>API + UI/E2E</t>
        </is>
      </c>
      <c r="H13" s="5" t="inlineStr">
        <is>
          <t>POST /api/v1/common/auth/register/
POST /api/v1/common/auth/verify-registration/
POST /api/v1/common/auth/resend-verification/
POST /api/v1/common/auth/change-registration-email/</t>
        </is>
      </c>
      <c r="I13" s="5" t="inlineStr">
        <is>
          <t>Email/username/phone chưa tồn tại, trừ khi test case yêu cầu dữ liệu trùng. Email sandbox hoạt động.</t>
        </is>
      </c>
      <c r="J13" s="5" t="inlineStr">
        <is>
          <t>email=qa.com01+&lt;timestamp&gt;@example.com; username=qa_com01_&lt;timestamp&gt;; phone=0901&lt;6 số&gt;; password=StrongPass!2026
Bổ sung: AI stub hỗ trợ success, timeout, HTTP 500, invalid JSON và oversized response</t>
        </is>
      </c>
      <c r="K13" s="5" t="inlineStr">
        <is>
          <t>1. Chuẩn bị dữ liệu đúng mục 'Điều kiện trước' và ghi lại các ID ban đầu.
2. Mở màn hình/API tương ứng ở trạng thái chưa xác thực, trừ khi kịch bản yêu cầu session có sẵn.
3. Thực hiện kịch bản: Email/phone sai định dạng; tên chỉ có khoảng trắng; field vượt max length.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3" s="5" t="inlineStr">
        <is>
          <t>400 và thông báo validation phù hợp</t>
        </is>
      </c>
      <c r="M13" s="5" t="inlineStr">
        <is>
          <t>User, IAM account, preference và challenge nhất quán; không có user rác khi validation lỗi.</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COM01-11</t>
        </is>
      </c>
      <c r="C14" s="4" t="inlineStr">
        <is>
          <t>UC-COM-01</t>
        </is>
      </c>
      <c r="D14" s="4" t="inlineStr">
        <is>
          <t>Đổi email khi đang chờ xác thực bằng challenge hợp lệ</t>
        </is>
      </c>
      <c r="E14" s="19" t="inlineStr">
        <is>
          <t>P1</t>
        </is>
      </c>
      <c r="F14" s="4" t="inlineStr">
        <is>
          <t>Functional</t>
        </is>
      </c>
      <c r="G14" s="4" t="inlineStr">
        <is>
          <t>API + UI/E2E</t>
        </is>
      </c>
      <c r="H14" s="4" t="inlineStr">
        <is>
          <t>POST /api/v1/common/auth/register/
POST /api/v1/common/auth/verify-registration/
POST /api/v1/common/auth/resend-verification/
POST /api/v1/common/auth/change-registration-email/</t>
        </is>
      </c>
      <c r="I14" s="4" t="inlineStr">
        <is>
          <t>Email/username/phone chưa tồn tại, trừ khi test case yêu cầu dữ liệu trùng. Email sandbox hoạt động.</t>
        </is>
      </c>
      <c r="J14" s="4" t="inlineStr">
        <is>
          <t>email=qa.com01+&lt;timestamp&gt;@example.com; username=qa_com01_&lt;timestamp&gt;; phone=0901&lt;6 số&gt;; password=StrongPass!2026
Bổ sung: AI stub hỗ trợ success, timeout, HTTP 500, invalid JSON và oversized response</t>
        </is>
      </c>
      <c r="K14" s="4" t="inlineStr">
        <is>
          <t>1. Chuẩn bị dữ liệu đúng mục 'Điều kiện trước' và ghi lại các ID ban đầu.
2. Mở màn hình/API tương ứng ở trạng thái chưa xác thực, trừ khi kịch bản yêu cầu session có sẵn.
3. Thực hiện kịch bản: Đổi email khi đang chờ xác thực bằng challenge hợp lệ.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4" s="4" t="inlineStr">
        <is>
          <t>Email/user preference cập nhật; OTP cũ mất hiệu lực; OTP mới gửi đến email mới</t>
        </is>
      </c>
      <c r="M14" s="4" t="inlineStr">
        <is>
          <t>User, IAM account, preference và challenge nhất quán; không có user rác khi validation lỗi.</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COM01-12</t>
        </is>
      </c>
      <c r="C15" s="5" t="inlineStr">
        <is>
          <t>UC-COM-01</t>
        </is>
      </c>
      <c r="D15" s="5" t="inlineStr">
        <is>
          <t>Đổi sang email đã dùng hoặc dùng challenge của đăng ký đã active</t>
        </is>
      </c>
      <c r="E15" s="15" t="inlineStr">
        <is>
          <t>P0</t>
        </is>
      </c>
      <c r="F15" s="5" t="inlineStr">
        <is>
          <t>Functional</t>
        </is>
      </c>
      <c r="G15" s="5" t="inlineStr">
        <is>
          <t>API + UI/E2E</t>
        </is>
      </c>
      <c r="H15" s="5" t="inlineStr">
        <is>
          <t>POST /api/v1/common/auth/register/
POST /api/v1/common/auth/verify-registration/
POST /api/v1/common/auth/resend-verification/
POST /api/v1/common/auth/change-registration-email/</t>
        </is>
      </c>
      <c r="I15" s="5" t="inlineStr">
        <is>
          <t>Email/username/phone chưa tồn tại, trừ khi test case yêu cầu dữ liệu trùng. Email sandbox hoạt động.</t>
        </is>
      </c>
      <c r="J15" s="5" t="inlineStr">
        <is>
          <t>email=qa.com01+&lt;timestamp&gt;@example.com; username=qa_com01_&lt;timestamp&gt;; phone=0901&lt;6 số&gt;; password=StrongPass!2026
Bổ sung: AI stub hỗ trợ success, timeout, HTTP 500, invalid JSON và oversized response</t>
        </is>
      </c>
      <c r="K15" s="5" t="inlineStr">
        <is>
          <t>1. Chuẩn bị dữ liệu đúng mục 'Điều kiện trước' và ghi lại các ID ban đầu.
2. Mở màn hình/API tương ứng ở trạng thái chưa xác thực, trừ khi kịch bản yêu cầu session có sẵn.
3. Thực hiện kịch bản: Đổi sang email đã dùng hoặc dùng challenge của đăng ký đã active.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5" s="5" t="inlineStr">
        <is>
          <t>400; không thay đổi email</t>
        </is>
      </c>
      <c r="M15" s="5" t="inlineStr">
        <is>
          <t>User, IAM account, preference và challenge nhất quán; không có user rác khi validation lỗi.</t>
        </is>
      </c>
      <c r="N15" s="5" t="inlineStr"/>
      <c r="O15" s="18" t="inlineStr">
        <is>
          <t>Not Run</t>
        </is>
      </c>
      <c r="P15" s="5" t="inlineStr"/>
      <c r="Q15" s="5" t="inlineStr"/>
      <c r="R15" s="5" t="inlineStr"/>
      <c r="S15" s="5" t="inlineStr"/>
      <c r="T15" s="5" t="inlineStr"/>
      <c r="U15" s="5" t="inlineStr">
        <is>
          <t>Candidate</t>
        </is>
      </c>
      <c r="V15" s="5" t="inlineStr"/>
    </row>
    <row r="16" ht="132" customHeight="1">
      <c r="A16" s="4" t="n">
        <v>13</v>
      </c>
      <c r="B16" s="14" t="inlineStr">
        <is>
          <t>COM01-13</t>
        </is>
      </c>
      <c r="C16" s="4" t="inlineStr">
        <is>
          <t>UC-COM-01</t>
        </is>
      </c>
      <c r="D16" s="4" t="inlineStr">
        <is>
          <t>Gọi xác thực thành công lặp lại cùng challenge</t>
        </is>
      </c>
      <c r="E16" s="19" t="inlineStr">
        <is>
          <t>P1</t>
        </is>
      </c>
      <c r="F16" s="4" t="inlineStr">
        <is>
          <t>Concurrency/Idempotency</t>
        </is>
      </c>
      <c r="G16" s="4" t="inlineStr">
        <is>
          <t>Integration</t>
        </is>
      </c>
      <c r="H16" s="4" t="inlineStr">
        <is>
          <t>POST /api/v1/common/auth/register/
POST /api/v1/common/auth/verify-registration/
POST /api/v1/common/auth/resend-verification/
POST /api/v1/common/auth/change-registration-email/</t>
        </is>
      </c>
      <c r="I16" s="4" t="inlineStr">
        <is>
          <t>Email/username/phone chưa tồn tại, trừ khi test case yêu cầu dữ liệu trùng. Email sandbox hoạt động.</t>
        </is>
      </c>
      <c r="J16" s="4" t="inlineStr">
        <is>
          <t>email=qa.com01+&lt;timestamp&gt;@example.com; username=qa_com01_&lt;timestamp&gt;; phone=0901&lt;6 số&gt;; password=StrongPass!2026</t>
        </is>
      </c>
      <c r="K16" s="4" t="inlineStr">
        <is>
          <t>1. Chuẩn bị dữ liệu đúng mục 'Điều kiện trước' và ghi lại các ID ban đầu.
2. Mở màn hình/API tương ứng ở trạng thái chưa xác thực, trừ khi kịch bản yêu cầu session có sẵn.
3. Thực hiện kịch bản: Gọi xác thực thành công lặp lại cùng challenge.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6" s="4" t="inlineStr">
        <is>
          <t>Kết quả idempotent; không tạo session/dữ liệu sai ngoài dự kiến</t>
        </is>
      </c>
      <c r="M16" s="4" t="inlineStr">
        <is>
          <t>User, IAM account, preference và challenge nhất quán; không có user rác khi validation lỗi.</t>
        </is>
      </c>
      <c r="N16" s="4" t="inlineStr"/>
      <c r="O16" s="16" t="inlineStr">
        <is>
          <t>Not Run</t>
        </is>
      </c>
      <c r="P16" s="4" t="inlineStr"/>
      <c r="Q16" s="4" t="inlineStr"/>
      <c r="R16" s="4" t="inlineStr"/>
      <c r="S16" s="4" t="inlineStr"/>
      <c r="T16" s="4" t="inlineStr"/>
      <c r="U16" s="4" t="inlineStr">
        <is>
          <t>Candidate</t>
        </is>
      </c>
      <c r="V16" s="4" t="inlineStr"/>
    </row>
    <row r="17" ht="132" customHeight="1">
      <c r="A17" s="5" t="n">
        <v>14</v>
      </c>
      <c r="B17" s="17" t="inlineStr">
        <is>
          <t>COM01-14</t>
        </is>
      </c>
      <c r="C17" s="5" t="inlineStr">
        <is>
          <t>UC-COM-01</t>
        </is>
      </c>
      <c r="D17" s="5" t="inlineStr">
        <is>
          <t>Vượt rate limit đăng ký/OTP theo email hoặc IP</t>
        </is>
      </c>
      <c r="E17" s="15" t="inlineStr">
        <is>
          <t>P0</t>
        </is>
      </c>
      <c r="F17" s="5" t="inlineStr">
        <is>
          <t>Security/Authorization</t>
        </is>
      </c>
      <c r="G17" s="5" t="inlineStr">
        <is>
          <t>API + Integration</t>
        </is>
      </c>
      <c r="H17" s="5" t="inlineStr">
        <is>
          <t>POST /api/v1/common/auth/register/
POST /api/v1/common/auth/verify-registration/
POST /api/v1/common/auth/resend-verification/
POST /api/v1/common/auth/change-registration-email/</t>
        </is>
      </c>
      <c r="I17" s="5" t="inlineStr">
        <is>
          <t>Email/username/phone chưa tồn tại, trừ khi test case yêu cầu dữ liệu trùng. Email sandbox hoạt động.</t>
        </is>
      </c>
      <c r="J17" s="5" t="inlineStr">
        <is>
          <t>email=qa.com01+&lt;timestamp&gt;@example.com; username=qa_com01_&lt;timestamp&gt;; phone=0901&lt;6 số&gt;; password=StrongPass!2026
Bổ sung: OTP đúng: lấy từ email sandbox; OTP sai: 000000; challenge UUID từ response; Gửi request liên tiếp vượt ngưỡng cấu hình từ cùng identifier/IP; AI stub hỗ trợ success, timeout, HTTP 500, invalid JSON và oversized response</t>
        </is>
      </c>
      <c r="K17" s="5" t="inlineStr">
        <is>
          <t>1. Chuẩn bị dữ liệu đúng mục 'Điều kiện trước' và ghi lại các ID ban đầu.
2. Mở màn hình/API tương ứng ở trạng thái chưa xác thực, trừ khi kịch bản yêu cầu session có sẵn.
3. Thực hiện kịch bản: Vượt rate limit đăng ký/OTP theo email hoặc IP.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7" s="5" t="inlineStr">
        <is>
          <t>429; khóa theo bucket đúng và không làm lộ OTP/dữ liệu tài khoản</t>
        </is>
      </c>
      <c r="M17" s="5" t="inlineStr">
        <is>
          <t>User, IAM account, preference và challenge nhất quán; không có user rác khi validation lỗi.</t>
        </is>
      </c>
      <c r="N17" s="5" t="inlineStr"/>
      <c r="O17" s="18" t="inlineStr">
        <is>
          <t>Not Run</t>
        </is>
      </c>
      <c r="P17" s="5" t="inlineStr"/>
      <c r="Q17" s="5" t="inlineStr"/>
      <c r="R17" s="5" t="inlineStr"/>
      <c r="S17" s="5" t="inlineStr"/>
      <c r="T17" s="5" t="inlineStr"/>
      <c r="U17" s="5" t="inlineStr">
        <is>
          <t>Candidate</t>
        </is>
      </c>
      <c r="V17" s="5" t="inlineStr"/>
    </row>
  </sheetData>
  <autoFilter ref="A3:V17"/>
  <mergeCells count="2">
    <mergeCell ref="A2:V2"/>
    <mergeCell ref="A1:V1"/>
  </mergeCells>
  <conditionalFormatting sqref="O4:O17">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7" showDropDown="0" showInputMessage="0" showErrorMessage="0" allowBlank="1" type="list">
      <formula1>"Not Run,Pass,Fail,Blocked,N/A"</formula1>
    </dataValidation>
    <dataValidation sqref="P4:P17" showDropDown="0" showInputMessage="0" showErrorMessage="0" allowBlank="1" type="list">
      <formula1>"S1 Critical,S2 High,S3 Medium,S4 Low"</formula1>
    </dataValidation>
    <dataValidation sqref="U4:U17" showDropDown="0" showInputMessage="0" showErrorMessage="0" allowBlank="1" type="list">
      <formula1>"Manual,Automated,Candidate,Not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7"/>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UC-COM-02 – Gửi yêu cầu tham gia doanh nghiệp</t>
        </is>
      </c>
    </row>
    <row r="2" ht="30" customHeight="1">
      <c r="A2" s="2" t="inlineStr">
        <is>
          <t>Nguồn: COMMON_SERVICES_TEST_PLAN.md | 14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COM02-01</t>
        </is>
      </c>
      <c r="C4" s="4" t="inlineStr">
        <is>
          <t>UC-COM-02</t>
        </is>
      </c>
      <c r="D4" s="4" t="inlineStr">
        <is>
          <t>Tìm doanh nghiệp theo mã/tên/mã số thuế với từ khóa &gt;= 2 ký tự</t>
        </is>
      </c>
      <c r="E4" s="19" t="inlineStr">
        <is>
          <t>P1</t>
        </is>
      </c>
      <c r="F4" s="4" t="inlineStr">
        <is>
          <t>Security/Authorization</t>
        </is>
      </c>
      <c r="G4" s="4" t="inlineStr">
        <is>
          <t>API + Integration</t>
        </is>
      </c>
      <c r="H4" s="4" t="inlineStr">
        <is>
          <t>GET /api/v1/common/companies/search/
GET|POST /api/v1/common/join-requests/
POST /api/v1/common/join-requests/{id}/cancel/
GET /api/v1/common/company-join-requests/
POST /api/v1/common/company-join-requests/{id}/decide/</t>
        </is>
      </c>
      <c r="I4" s="4" t="inlineStr">
        <is>
          <t>Có U2 (applicant), U7 (admin C1), C1 ACTIVE và Permission phù hợp theo từng test case.</t>
        </is>
      </c>
      <c r="J4" s="4" t="inlineStr">
        <is>
          <t>applicant=U2; admin=U7; company=C1; message=Xin tham gia doanh nghiệp</t>
        </is>
      </c>
      <c r="K4" s="4" t="inlineStr">
        <is>
          <t>1. Chuẩn bị dữ liệu đúng mục 'Điều kiện trước' và ghi lại các ID ban đầu.
2. Đăng nhập bằng đúng actor/role và chọn company/branch theo điều kiện trước.
3. Thực hiện kịch bản: Tìm doanh nghiệp theo mã/tên/mã số thuế với từ khóa &gt;= 2 ký tự.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4" s="4" t="inlineStr">
        <is>
          <t>Chỉ trả doanh nghiệp ACTIVE, tối đa 20; mã số thuế được che chỉ còn 4 số cuối</t>
        </is>
      </c>
      <c r="M4" s="4" t="inlineStr">
        <is>
          <t>Không có pending request/membership/notification trùng; decided_by/at chính xác.</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COM02-02</t>
        </is>
      </c>
      <c r="C5" s="5" t="inlineStr">
        <is>
          <t>UC-COM-02</t>
        </is>
      </c>
      <c r="D5" s="5" t="inlineStr">
        <is>
          <t>Từ khóa tìm doanh nghiệp &lt; 2 ký tự</t>
        </is>
      </c>
      <c r="E5" s="19" t="inlineStr">
        <is>
          <t>P1</t>
        </is>
      </c>
      <c r="F5" s="5" t="inlineStr">
        <is>
          <t>Security/Authorization</t>
        </is>
      </c>
      <c r="G5" s="5" t="inlineStr">
        <is>
          <t>API + Integration</t>
        </is>
      </c>
      <c r="H5" s="5" t="inlineStr">
        <is>
          <t>GET /api/v1/common/companies/search/
GET|POST /api/v1/common/join-requests/
POST /api/v1/common/join-requests/{id}/cancel/
GET /api/v1/common/company-join-requests/
POST /api/v1/common/company-join-requests/{id}/decide/</t>
        </is>
      </c>
      <c r="I5" s="5" t="inlineStr">
        <is>
          <t>Có U2 (applicant), U7 (admin C1), C1 ACTIVE và Permission phù hợp theo từng test case.</t>
        </is>
      </c>
      <c r="J5" s="5" t="inlineStr">
        <is>
          <t>applicant=U2; admin=U7; company=C1; message=Xin tham gia doanh nghiệp</t>
        </is>
      </c>
      <c r="K5" s="5" t="inlineStr">
        <is>
          <t>1. Chuẩn bị dữ liệu đúng mục 'Điều kiện trước' và ghi lại các ID ban đầu.
2. Đăng nhập bằng đúng actor/role và chọn company/branch theo điều kiện trước.
3. Thực hiện kịch bản: Từ khóa tìm doanh nghiệp &lt; 2 ký tự.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5" s="5" t="inlineStr">
        <is>
          <t>400; không trả toàn bộ danh sách</t>
        </is>
      </c>
      <c r="M5" s="5" t="inlineStr">
        <is>
          <t>Không có pending request/membership/notification trùng; decided_by/at chính xác.</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COM02-03</t>
        </is>
      </c>
      <c r="C6" s="4" t="inlineStr">
        <is>
          <t>UC-COM-02</t>
        </is>
      </c>
      <c r="D6" s="4" t="inlineStr">
        <is>
          <t>Gửi yêu cầu hợp lệ tới C1</t>
        </is>
      </c>
      <c r="E6" s="15" t="inlineStr">
        <is>
          <t>P0</t>
        </is>
      </c>
      <c r="F6" s="4" t="inlineStr">
        <is>
          <t>Functional</t>
        </is>
      </c>
      <c r="G6" s="4" t="inlineStr">
        <is>
          <t>API + UI/E2E</t>
        </is>
      </c>
      <c r="H6" s="4" t="inlineStr">
        <is>
          <t>GET /api/v1/common/companies/search/
GET|POST /api/v1/common/join-requests/
POST /api/v1/common/join-requests/{id}/cancel/
GET /api/v1/common/company-join-requests/
POST /api/v1/common/company-join-requests/{id}/decide/</t>
        </is>
      </c>
      <c r="I6" s="4" t="inlineStr">
        <is>
          <t>Có U2 (applicant), U7 (admin C1), C1 ACTIVE và Permission phù hợp theo từng test case.</t>
        </is>
      </c>
      <c r="J6" s="4" t="inlineStr">
        <is>
          <t>applicant=U2; admin=U7; company=C1; message=Xin tham gia doanh nghiệp</t>
        </is>
      </c>
      <c r="K6" s="4" t="inlineStr">
        <is>
          <t>1. Chuẩn bị dữ liệu đúng mục 'Điều kiện trước' và ghi lại các ID ban đầu.
2. Đăng nhập bằng đúng actor/role và chọn company/branch theo điều kiện trước.
3. Thực hiện kịch bản: Gửi yêu cầu hợp lệ tới C1.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6" s="4" t="inlineStr">
        <is>
          <t>201; status PENDING, requester là user hiện tại, ngày hết hạn đúng; thông báo cho requester/admin</t>
        </is>
      </c>
      <c r="M6" s="4" t="inlineStr">
        <is>
          <t>Không có pending request/membership/notification trùng; decided_by/at chính xác.</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COM02-04</t>
        </is>
      </c>
      <c r="C7" s="5" t="inlineStr">
        <is>
          <t>UC-COM-02</t>
        </is>
      </c>
      <c r="D7" s="5" t="inlineStr">
        <is>
          <t>Gửi yêu cầu PENDING trùng C1</t>
        </is>
      </c>
      <c r="E7" s="15" t="inlineStr">
        <is>
          <t>P0</t>
        </is>
      </c>
      <c r="F7" s="5" t="inlineStr">
        <is>
          <t>Functional</t>
        </is>
      </c>
      <c r="G7" s="5" t="inlineStr">
        <is>
          <t>API + UI/E2E</t>
        </is>
      </c>
      <c r="H7" s="5" t="inlineStr">
        <is>
          <t>GET /api/v1/common/companies/search/
GET|POST /api/v1/common/join-requests/
POST /api/v1/common/join-requests/{id}/cancel/
GET /api/v1/common/company-join-requests/
POST /api/v1/common/company-join-requests/{id}/decide/</t>
        </is>
      </c>
      <c r="I7" s="5" t="inlineStr">
        <is>
          <t>Có U2 (applicant), U7 (admin C1), C1 ACTIVE và Permission phù hợp theo từng test case.</t>
        </is>
      </c>
      <c r="J7" s="5" t="inlineStr">
        <is>
          <t>applicant=U2; admin=U7; company=C1; message=Xin tham gia doanh nghiệp
Bổ sung: Chuẩn bị trước một bản ghi có cùng giá trị cần kiểm tra</t>
        </is>
      </c>
      <c r="K7" s="5" t="inlineStr">
        <is>
          <t>1. Chuẩn bị dữ liệu đúng mục 'Điều kiện trước' và ghi lại các ID ban đầu.
2. Đăng nhập bằng đúng actor/role và chọn company/branch theo điều kiện trước.
3. Thực hiện kịch bản: Gửi yêu cầu PENDING trùng C1.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7" s="5" t="inlineStr">
        <is>
          <t>400; chỉ tồn tại một yêu cầu pending</t>
        </is>
      </c>
      <c r="M7" s="5" t="inlineStr">
        <is>
          <t>Không có pending request/membership/notification trùng; decided_by/at chính xác.</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COM02-05</t>
        </is>
      </c>
      <c r="C8" s="4" t="inlineStr">
        <is>
          <t>UC-COM-02</t>
        </is>
      </c>
      <c r="D8" s="4" t="inlineStr">
        <is>
          <t>Gửi yêu cầu bằng invitation code hợp lệ</t>
        </is>
      </c>
      <c r="E8" s="19" t="inlineStr">
        <is>
          <t>P1</t>
        </is>
      </c>
      <c r="F8" s="4" t="inlineStr">
        <is>
          <t>Functional</t>
        </is>
      </c>
      <c r="G8" s="4" t="inlineStr">
        <is>
          <t>API + UI/E2E</t>
        </is>
      </c>
      <c r="H8" s="4" t="inlineStr">
        <is>
          <t>GET /api/v1/common/companies/search/
GET|POST /api/v1/common/join-requests/
POST /api/v1/common/join-requests/{id}/cancel/
GET /api/v1/common/company-join-requests/
POST /api/v1/common/company-join-requests/{id}/decide/</t>
        </is>
      </c>
      <c r="I8" s="4" t="inlineStr">
        <is>
          <t>Có U2 (applicant), U7 (admin C1), C1 ACTIVE và Permission phù hợp theo từng test case.</t>
        </is>
      </c>
      <c r="J8" s="4" t="inlineStr">
        <is>
          <t>applicant=U2; admin=U7; company=C1; message=Xin tham gia doanh nghiệp</t>
        </is>
      </c>
      <c r="K8" s="4" t="inlineStr">
        <is>
          <t>1. Chuẩn bị dữ liệu đúng mục 'Điều kiện trước' và ghi lại các ID ban đầu.
2. Đăng nhập bằng đúng actor/role và chọn company/branch theo điều kiện trước.
3. Thực hiện kịch bản: Gửi yêu cầu bằng invitation code hợp lệ.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8" s="4" t="inlineStr">
        <is>
          <t>Chọn đúng doanh nghiệp; tăng use count; auto-approve nếu invitation cấu hình như vậy</t>
        </is>
      </c>
      <c r="M8" s="4" t="inlineStr">
        <is>
          <t>Không có pending request/membership/notification trùng; decided_by/at chính xác.</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COM02-06</t>
        </is>
      </c>
      <c r="C9" s="5" t="inlineStr">
        <is>
          <t>UC-COM-02</t>
        </is>
      </c>
      <c r="D9" s="5" t="inlineStr">
        <is>
          <t>Invitation hết hạn/bị thu hồi/sai/vượt max use</t>
        </is>
      </c>
      <c r="E9" s="15" t="inlineStr">
        <is>
          <t>P0</t>
        </is>
      </c>
      <c r="F9" s="5" t="inlineStr">
        <is>
          <t>Functional</t>
        </is>
      </c>
      <c r="G9" s="5" t="inlineStr">
        <is>
          <t>API + UI/E2E</t>
        </is>
      </c>
      <c r="H9" s="5" t="inlineStr">
        <is>
          <t>GET /api/v1/common/companies/search/
GET|POST /api/v1/common/join-requests/
POST /api/v1/common/join-requests/{id}/cancel/
GET /api/v1/common/company-join-requests/
POST /api/v1/common/company-join-requests/{id}/decide/</t>
        </is>
      </c>
      <c r="I9" s="5" t="inlineStr">
        <is>
          <t>Có U2 (applicant), U7 (admin C1), C1 ACTIVE và Permission phù hợp theo từng test case.</t>
        </is>
      </c>
      <c r="J9" s="5" t="inlineStr">
        <is>
          <t>applicant=U2; admin=U7; company=C1; message=Xin tham gia doanh nghiệp
Bổ sung: Điều chỉnh expires_at về quá khứ bằng fixture/admin test; AI stub hỗ trợ success, timeout, HTTP 500, invalid JSON và oversized response</t>
        </is>
      </c>
      <c r="K9" s="5" t="inlineStr">
        <is>
          <t>1. Chuẩn bị dữ liệu đúng mục 'Điều kiện trước' và ghi lại các ID ban đầu.
2. Đăng nhập bằng đúng actor/role và chọn company/branch theo điều kiện trước.
3. Thực hiện kịch bản: Invitation hết hạn/bị thu hồi/sai/vượt max use.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9" s="5" t="inlineStr">
        <is>
          <t>400; không tạo membership hoặc tăng use count sai</t>
        </is>
      </c>
      <c r="M9" s="5" t="inlineStr">
        <is>
          <t>Không có pending request/membership/notification trùng; decided_by/at chính xác.</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COM02-07</t>
        </is>
      </c>
      <c r="C10" s="4" t="inlineStr">
        <is>
          <t>UC-COM-02</t>
        </is>
      </c>
      <c r="D10" s="4" t="inlineStr">
        <is>
          <t>User đã là thành viên ACTIVE của C1 vẫn gửi yêu cầu</t>
        </is>
      </c>
      <c r="E10" s="15" t="inlineStr">
        <is>
          <t>P0</t>
        </is>
      </c>
      <c r="F10" s="4" t="inlineStr">
        <is>
          <t>Functional</t>
        </is>
      </c>
      <c r="G10" s="4" t="inlineStr">
        <is>
          <t>API + UI/E2E</t>
        </is>
      </c>
      <c r="H10" s="4" t="inlineStr">
        <is>
          <t>GET /api/v1/common/companies/search/
GET|POST /api/v1/common/join-requests/
POST /api/v1/common/join-requests/{id}/cancel/
GET /api/v1/common/company-join-requests/
POST /api/v1/common/company-join-requests/{id}/decide/</t>
        </is>
      </c>
      <c r="I10" s="4" t="inlineStr">
        <is>
          <t>Có U2 (applicant), U7 (admin C1), C1 ACTIVE và Permission phù hợp theo từng test case.</t>
        </is>
      </c>
      <c r="J10" s="4" t="inlineStr">
        <is>
          <t>applicant=U2; admin=U7; company=C1; message=Xin tham gia doanh nghiệp</t>
        </is>
      </c>
      <c r="K10" s="4" t="inlineStr">
        <is>
          <t>1. Chuẩn bị dữ liệu đúng mục 'Điều kiện trước' và ghi lại các ID ban đầu.
2. Đăng nhập bằng đúng actor/role và chọn company/branch theo điều kiện trước.
3. Thực hiện kịch bản: User đã là thành viên ACTIVE của C1 vẫn gửi yêu cầu.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0" s="4" t="inlineStr">
        <is>
          <t>Bị từ chối; không tạo yêu cầu trùng</t>
        </is>
      </c>
      <c r="M10" s="4" t="inlineStr">
        <is>
          <t>Không có pending request/membership/notification trùng; decided_by/at chính xác.</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COM02-08</t>
        </is>
      </c>
      <c r="C11" s="5" t="inlineStr">
        <is>
          <t>UC-COM-02</t>
        </is>
      </c>
      <c r="D11" s="5" t="inlineStr">
        <is>
          <t>Requester hủy yêu cầu PENDING của chính mình</t>
        </is>
      </c>
      <c r="E11" s="19" t="inlineStr">
        <is>
          <t>P1</t>
        </is>
      </c>
      <c r="F11" s="5" t="inlineStr">
        <is>
          <t>Functional</t>
        </is>
      </c>
      <c r="G11" s="5" t="inlineStr">
        <is>
          <t>API + UI/E2E</t>
        </is>
      </c>
      <c r="H11" s="5" t="inlineStr">
        <is>
          <t>GET /api/v1/common/companies/search/
GET|POST /api/v1/common/join-requests/
POST /api/v1/common/join-requests/{id}/cancel/
GET /api/v1/common/company-join-requests/
POST /api/v1/common/company-join-requests/{id}/decide/</t>
        </is>
      </c>
      <c r="I11" s="5" t="inlineStr">
        <is>
          <t>Có U2 (applicant), U7 (admin C1), C1 ACTIVE và Permission phù hợp theo từng test case.</t>
        </is>
      </c>
      <c r="J11" s="5" t="inlineStr">
        <is>
          <t>applicant=U2; admin=U7; company=C1; message=Xin tham gia doanh nghiệp</t>
        </is>
      </c>
      <c r="K11" s="5" t="inlineStr">
        <is>
          <t>1. Chuẩn bị dữ liệu đúng mục 'Điều kiện trước' và ghi lại các ID ban đầu.
2. Đăng nhập bằng đúng actor/role và chọn company/branch theo điều kiện trước.
3. Thực hiện kịch bản: Requester hủy yêu cầu PENDING của chính mình.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1" s="5" t="inlineStr">
        <is>
          <t>Status CANCELLED, ghi thời điểm/lịch sử phù hợp; admin không thể duyệt sau đó</t>
        </is>
      </c>
      <c r="M11" s="5" t="inlineStr">
        <is>
          <t>Không có pending request/membership/notification trùng; decided_by/at chính xác.</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COM02-09</t>
        </is>
      </c>
      <c r="C12" s="4" t="inlineStr">
        <is>
          <t>UC-COM-02</t>
        </is>
      </c>
      <c r="D12" s="4" t="inlineStr">
        <is>
          <t>User khác hủy hoặc xem chi tiết yêu cầu không thuộc mình</t>
        </is>
      </c>
      <c r="E12" s="15" t="inlineStr">
        <is>
          <t>P0</t>
        </is>
      </c>
      <c r="F12" s="4" t="inlineStr">
        <is>
          <t>Security/Authorization</t>
        </is>
      </c>
      <c r="G12" s="4" t="inlineStr">
        <is>
          <t>API + Integration</t>
        </is>
      </c>
      <c r="H12" s="4" t="inlineStr">
        <is>
          <t>GET /api/v1/common/companies/search/
GET|POST /api/v1/common/join-requests/
POST /api/v1/common/join-requests/{id}/cancel/
GET /api/v1/common/company-join-requests/
POST /api/v1/common/company-join-requests/{id}/decide/</t>
        </is>
      </c>
      <c r="I12" s="4" t="inlineStr">
        <is>
          <t>Có U2 (applicant), U7 (admin C1), C1 ACTIVE và Permission phù hợp theo từng test case.</t>
        </is>
      </c>
      <c r="J12" s="4" t="inlineStr">
        <is>
          <t>applicant=U2; admin=U7; company=C1; message=Xin tham gia doanh nghiệp</t>
        </is>
      </c>
      <c r="K12" s="4" t="inlineStr">
        <is>
          <t>1. Chuẩn bị dữ liệu đúng mục 'Điều kiện trước' và ghi lại các ID ban đầu.
2. Đăng nhập bằng đúng actor/role và chọn company/branch theo điều kiện trước.
3. Thực hiện kịch bản: User khác hủy hoặc xem chi tiết yêu cầu không thuộc mình.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2" s="4" t="inlineStr">
        <is>
          <t>404/403; không lộ nội dung yêu cầu</t>
        </is>
      </c>
      <c r="M12" s="4" t="inlineStr">
        <is>
          <t>Không có pending request/membership/notification trùng; decided_by/at chính xác.</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COM02-10</t>
        </is>
      </c>
      <c r="C13" s="5" t="inlineStr">
        <is>
          <t>UC-COM-02</t>
        </is>
      </c>
      <c r="D13" s="5" t="inlineStr">
        <is>
          <t>Admin đủ quyền duyệt APPROVED</t>
        </is>
      </c>
      <c r="E13" s="15" t="inlineStr">
        <is>
          <t>P0</t>
        </is>
      </c>
      <c r="F13" s="5" t="inlineStr">
        <is>
          <t>Functional</t>
        </is>
      </c>
      <c r="G13" s="5" t="inlineStr">
        <is>
          <t>API + UI/E2E</t>
        </is>
      </c>
      <c r="H13" s="5" t="inlineStr">
        <is>
          <t>GET /api/v1/common/companies/search/
GET|POST /api/v1/common/join-requests/
POST /api/v1/common/join-requests/{id}/cancel/
GET /api/v1/common/company-join-requests/
POST /api/v1/common/company-join-requests/{id}/decide/</t>
        </is>
      </c>
      <c r="I13" s="5" t="inlineStr">
        <is>
          <t>Có U2 (applicant), U7 (admin C1), C1 ACTIVE và Permission phù hợp theo từng test case.</t>
        </is>
      </c>
      <c r="J13" s="5" t="inlineStr">
        <is>
          <t>applicant=U2; admin=U7; company=C1; message=Xin tham gia doanh nghiệp</t>
        </is>
      </c>
      <c r="K13" s="5" t="inlineStr">
        <is>
          <t>1. Chuẩn bị dữ liệu đúng mục 'Điều kiện trước' và ghi lại các ID ban đầu.
2. Đăng nhập bằng đúng actor/role và chọn company/branch theo điều kiện trước.
3. Thực hiện kịch bản: Admin đủ quyền duyệt APPROVED.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3" s="5" t="inlineStr">
        <is>
          <t>Tạo/khôi phục membership ACTIVE đúng user/C1; ghi decided_by/at/reason; gửi thông báo; idempotency được kiểm soát</t>
        </is>
      </c>
      <c r="M13" s="5" t="inlineStr">
        <is>
          <t>Không có pending request/membership/notification trùng; decided_by/at chính xác.</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COM02-11</t>
        </is>
      </c>
      <c r="C14" s="4" t="inlineStr">
        <is>
          <t>UC-COM-02</t>
        </is>
      </c>
      <c r="D14" s="4" t="inlineStr">
        <is>
          <t>Admin từ chối REJECTED</t>
        </is>
      </c>
      <c r="E14" s="19" t="inlineStr">
        <is>
          <t>P1</t>
        </is>
      </c>
      <c r="F14" s="4" t="inlineStr">
        <is>
          <t>Functional</t>
        </is>
      </c>
      <c r="G14" s="4" t="inlineStr">
        <is>
          <t>API + UI/E2E</t>
        </is>
      </c>
      <c r="H14" s="4" t="inlineStr">
        <is>
          <t>GET /api/v1/common/companies/search/
GET|POST /api/v1/common/join-requests/
POST /api/v1/common/join-requests/{id}/cancel/
GET /api/v1/common/company-join-requests/
POST /api/v1/common/company-join-requests/{id}/decide/</t>
        </is>
      </c>
      <c r="I14" s="4" t="inlineStr">
        <is>
          <t>Có U2 (applicant), U7 (admin C1), C1 ACTIVE và Permission phù hợp theo từng test case.</t>
        </is>
      </c>
      <c r="J14" s="4" t="inlineStr">
        <is>
          <t>applicant=U2; admin=U7; company=C1; message=Xin tham gia doanh nghiệp</t>
        </is>
      </c>
      <c r="K14" s="4" t="inlineStr">
        <is>
          <t>1. Chuẩn bị dữ liệu đúng mục 'Điều kiện trước' và ghi lại các ID ban đầu.
2. Đăng nhập bằng đúng actor/role và chọn company/branch theo điều kiện trước.
3. Thực hiện kịch bản: Admin từ chối REJECTED.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4" s="4" t="inlineStr">
        <is>
          <t>Không tạo membership; lưu reason và gửi thông báo requester</t>
        </is>
      </c>
      <c r="M14" s="4" t="inlineStr">
        <is>
          <t>Không có pending request/membership/notification trùng; decided_by/at chính xác.</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COM02-12</t>
        </is>
      </c>
      <c r="C15" s="5" t="inlineStr">
        <is>
          <t>UC-COM-02</t>
        </is>
      </c>
      <c r="D15" s="5" t="inlineStr">
        <is>
          <t>Người không có VIEW/APPROVE hoặc admin C2 xử lý yêu cầu C1</t>
        </is>
      </c>
      <c r="E15" s="15" t="inlineStr">
        <is>
          <t>P0</t>
        </is>
      </c>
      <c r="F15" s="5" t="inlineStr">
        <is>
          <t>Security/Authorization</t>
        </is>
      </c>
      <c r="G15" s="5" t="inlineStr">
        <is>
          <t>API + Integration</t>
        </is>
      </c>
      <c r="H15" s="5" t="inlineStr">
        <is>
          <t>GET /api/v1/common/companies/search/
GET|POST /api/v1/common/join-requests/
POST /api/v1/common/join-requests/{id}/cancel/
GET /api/v1/common/company-join-requests/
POST /api/v1/common/company-join-requests/{id}/decide/</t>
        </is>
      </c>
      <c r="I15" s="5" t="inlineStr">
        <is>
          <t>Có U2 (applicant), U7 (admin C1), C1 ACTIVE và Permission phù hợp theo từng test case.</t>
        </is>
      </c>
      <c r="J15" s="5" t="inlineStr">
        <is>
          <t>applicant=U2; admin=U7; company=C1; message=Xin tham gia doanh nghiệp
Bổ sung: Dùng UUID hợp lệ nhưng thuộc C2 hoặc branch ngoài Data Scope</t>
        </is>
      </c>
      <c r="K15" s="5" t="inlineStr">
        <is>
          <t>1. Chuẩn bị dữ liệu đúng mục 'Điều kiện trước' và ghi lại các ID ban đầu.
2. Đăng nhập bằng đúng actor/role và chọn company/branch theo điều kiện trước.
3. Thực hiện kịch bản: Người không có VIEW/APPROVE hoặc admin C2 xử lý yêu cầu C1.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5" s="5" t="inlineStr">
        <is>
          <t>403/404; không thay đổi yêu cầu</t>
        </is>
      </c>
      <c r="M15" s="5" t="inlineStr">
        <is>
          <t>Không có pending request/membership/notification trùng; decided_by/at chính xác.</t>
        </is>
      </c>
      <c r="N15" s="5" t="inlineStr"/>
      <c r="O15" s="18" t="inlineStr">
        <is>
          <t>Not Run</t>
        </is>
      </c>
      <c r="P15" s="5" t="inlineStr"/>
      <c r="Q15" s="5" t="inlineStr"/>
      <c r="R15" s="5" t="inlineStr"/>
      <c r="S15" s="5" t="inlineStr"/>
      <c r="T15" s="5" t="inlineStr"/>
      <c r="U15" s="5" t="inlineStr">
        <is>
          <t>Candidate</t>
        </is>
      </c>
      <c r="V15" s="5" t="inlineStr"/>
    </row>
    <row r="16" ht="132" customHeight="1">
      <c r="A16" s="4" t="n">
        <v>13</v>
      </c>
      <c r="B16" s="14" t="inlineStr">
        <is>
          <t>COM02-13</t>
        </is>
      </c>
      <c r="C16" s="4" t="inlineStr">
        <is>
          <t>UC-COM-02</t>
        </is>
      </c>
      <c r="D16" s="4" t="inlineStr">
        <is>
          <t>Yêu cầu hết hạn được truy vấn/xử lý</t>
        </is>
      </c>
      <c r="E16" s="19" t="inlineStr">
        <is>
          <t>P1</t>
        </is>
      </c>
      <c r="F16" s="4" t="inlineStr">
        <is>
          <t>Functional</t>
        </is>
      </c>
      <c r="G16" s="4" t="inlineStr">
        <is>
          <t>API + UI/E2E</t>
        </is>
      </c>
      <c r="H16" s="4" t="inlineStr">
        <is>
          <t>GET /api/v1/common/companies/search/
GET|POST /api/v1/common/join-requests/
POST /api/v1/common/join-requests/{id}/cancel/
GET /api/v1/common/company-join-requests/
POST /api/v1/common/company-join-requests/{id}/decide/</t>
        </is>
      </c>
      <c r="I16" s="4" t="inlineStr">
        <is>
          <t>Có U2 (applicant), U7 (admin C1), C1 ACTIVE và Permission phù hợp theo từng test case.</t>
        </is>
      </c>
      <c r="J16" s="4" t="inlineStr">
        <is>
          <t>applicant=U2; admin=U7; company=C1; message=Xin tham gia doanh nghiệp
Bổ sung: Điều chỉnh expires_at về quá khứ bằng fixture/admin test</t>
        </is>
      </c>
      <c r="K16" s="4" t="inlineStr">
        <is>
          <t>1. Chuẩn bị dữ liệu đúng mục 'Điều kiện trước' và ghi lại các ID ban đầu.
2. Đăng nhập bằng đúng actor/role và chọn company/branch theo điều kiện trước.
3. Thực hiện kịch bản: Yêu cầu hết hạn được truy vấn/xử lý.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6" s="4" t="inlineStr">
        <is>
          <t>Chuyển EXPIRED; không cho cancel/approve/reject</t>
        </is>
      </c>
      <c r="M16" s="4" t="inlineStr">
        <is>
          <t>Không có pending request/membership/notification trùng; decided_by/at chính xác.</t>
        </is>
      </c>
      <c r="N16" s="4" t="inlineStr"/>
      <c r="O16" s="16" t="inlineStr">
        <is>
          <t>Not Run</t>
        </is>
      </c>
      <c r="P16" s="4" t="inlineStr"/>
      <c r="Q16" s="4" t="inlineStr"/>
      <c r="R16" s="4" t="inlineStr"/>
      <c r="S16" s="4" t="inlineStr"/>
      <c r="T16" s="4" t="inlineStr"/>
      <c r="U16" s="4" t="inlineStr">
        <is>
          <t>Candidate</t>
        </is>
      </c>
      <c r="V16" s="4" t="inlineStr"/>
    </row>
    <row r="17" ht="132" customHeight="1">
      <c r="A17" s="5" t="n">
        <v>14</v>
      </c>
      <c r="B17" s="17" t="inlineStr">
        <is>
          <t>COM02-14</t>
        </is>
      </c>
      <c r="C17" s="5" t="inlineStr">
        <is>
          <t>UC-COM-02</t>
        </is>
      </c>
      <c r="D17" s="5" t="inlineStr">
        <is>
          <t>Hai admin duyệt đồng thời cùng yêu cầu</t>
        </is>
      </c>
      <c r="E17" s="19" t="inlineStr">
        <is>
          <t>P1</t>
        </is>
      </c>
      <c r="F17" s="5" t="inlineStr">
        <is>
          <t>Concurrency/Idempotency</t>
        </is>
      </c>
      <c r="G17" s="5" t="inlineStr">
        <is>
          <t>Integration</t>
        </is>
      </c>
      <c r="H17" s="5" t="inlineStr">
        <is>
          <t>GET /api/v1/common/companies/search/
GET|POST /api/v1/common/join-requests/
POST /api/v1/common/join-requests/{id}/cancel/
GET /api/v1/common/company-join-requests/
POST /api/v1/common/company-join-requests/{id}/decide/</t>
        </is>
      </c>
      <c r="I17" s="5" t="inlineStr">
        <is>
          <t>Có U2 (applicant), U7 (admin C1), C1 ACTIVE và Permission phù hợp theo từng test case.</t>
        </is>
      </c>
      <c r="J17" s="5" t="inlineStr">
        <is>
          <t>applicant=U2; admin=U7; company=C1; message=Xin tham gia doanh nghiệp
Bổ sung: Dùng hai client/worker gửi request cùng thời điểm; AI stub hỗ trợ success, timeout, HTTP 500, invalid JSON và oversized response</t>
        </is>
      </c>
      <c r="K17" s="5" t="inlineStr">
        <is>
          <t>1. Chuẩn bị dữ liệu đúng mục 'Điều kiện trước' và ghi lại các ID ban đầu.
2. Đăng nhập bằng đúng actor/role và chọn company/branch theo điều kiện trước.
3. Thực hiện kịch bản: Hai admin duyệt đồng thời cùng yêu cầu.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7" s="5" t="inlineStr">
        <is>
          <t>Chỉ một quyết định hiệu lực; không tạo membership trùng hoặc thông báo trùng</t>
        </is>
      </c>
      <c r="M17" s="5" t="inlineStr">
        <is>
          <t>Không có pending request/membership/notification trùng; decided_by/at chính xác.</t>
        </is>
      </c>
      <c r="N17" s="5" t="inlineStr"/>
      <c r="O17" s="18" t="inlineStr">
        <is>
          <t>Not Run</t>
        </is>
      </c>
      <c r="P17" s="5" t="inlineStr"/>
      <c r="Q17" s="5" t="inlineStr"/>
      <c r="R17" s="5" t="inlineStr"/>
      <c r="S17" s="5" t="inlineStr"/>
      <c r="T17" s="5" t="inlineStr"/>
      <c r="U17" s="5" t="inlineStr">
        <is>
          <t>Candidate</t>
        </is>
      </c>
      <c r="V17" s="5" t="inlineStr"/>
    </row>
  </sheetData>
  <autoFilter ref="A3:V17"/>
  <mergeCells count="2">
    <mergeCell ref="A2:V2"/>
    <mergeCell ref="A1:V1"/>
  </mergeCells>
  <conditionalFormatting sqref="O4:O17">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7" showDropDown="0" showInputMessage="0" showErrorMessage="0" allowBlank="1" type="list">
      <formula1>"Not Run,Pass,Fail,Blocked,N/A"</formula1>
    </dataValidation>
    <dataValidation sqref="P4:P17" showDropDown="0" showInputMessage="0" showErrorMessage="0" allowBlank="1" type="list">
      <formula1>"S1 Critical,S2 High,S3 Medium,S4 Low"</formula1>
    </dataValidation>
    <dataValidation sqref="U4:U17" showDropDown="0" showInputMessage="0" showErrorMessage="0" allowBlank="1" type="list">
      <formula1>"Manual,Automated,Candidate,Not Applicable"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6"/>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UC-COM-03 – Đăng nhập</t>
        </is>
      </c>
    </row>
    <row r="2" ht="30" customHeight="1">
      <c r="A2" s="2" t="inlineStr">
        <is>
          <t>Nguồn: COMMON_SERVICES_TEST_PLAN.md | 13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COM03-01</t>
        </is>
      </c>
      <c r="C4" s="4" t="inlineStr">
        <is>
          <t>UC-COM-03</t>
        </is>
      </c>
      <c r="D4" s="4" t="inlineStr">
        <is>
          <t>Đăng nhập bằng email hợp lệ</t>
        </is>
      </c>
      <c r="E4" s="15" t="inlineStr">
        <is>
          <t>P0</t>
        </is>
      </c>
      <c r="F4" s="4" t="inlineStr">
        <is>
          <t>Functional</t>
        </is>
      </c>
      <c r="G4" s="4" t="inlineStr">
        <is>
          <t>API + UI/E2E</t>
        </is>
      </c>
      <c r="H4" s="4" t="inlineStr">
        <is>
          <t>POST /api/v1/common/auth/login/
POST /api/token/refresh/</t>
        </is>
      </c>
      <c r="I4" s="4" t="inlineStr">
        <is>
          <t>Có tài khoản theo trạng thái yêu cầu: ACTIVE/UNVERIFIED/LOCKED và membership phù hợp.</t>
        </is>
      </c>
      <c r="J4" s="4" t="inlineStr">
        <is>
          <t>login=user@example.com; password=StrongPass!2026; devices=S1/S2
Bổ sung: AI stub hỗ trợ success, timeout, HTTP 500, invalid JSON và oversized response</t>
        </is>
      </c>
      <c r="K4" s="4" t="inlineStr">
        <is>
          <t>1. Chuẩn bị dữ liệu đúng mục 'Điều kiện trước' và ghi lại các ID ban đầu.
2. Mở màn hình/API tương ứng ở trạng thái chưa xác thực, trừ khi kịch bản yêu cầu session có sẵn.
3. Thực hiện kịch bản: Đăng nhập bằng email hợp lệ.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4" s="4" t="inlineStr">
        <is>
          <t>200; trả access, refresh, session, user và danh sách doanh nghiệp</t>
        </is>
      </c>
      <c r="M4" s="4" t="inlineStr">
        <is>
          <t>Session và LoginLog đúng; không cấp token ngoài luồng thành công.</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COM03-02</t>
        </is>
      </c>
      <c r="C5" s="5" t="inlineStr">
        <is>
          <t>UC-COM-03</t>
        </is>
      </c>
      <c r="D5" s="5" t="inlineStr">
        <is>
          <t>Đăng nhập bằng username hợp lệ, không phân biệt hoa thường</t>
        </is>
      </c>
      <c r="E5" s="15" t="inlineStr">
        <is>
          <t>P0</t>
        </is>
      </c>
      <c r="F5" s="5" t="inlineStr">
        <is>
          <t>Functional</t>
        </is>
      </c>
      <c r="G5" s="5" t="inlineStr">
        <is>
          <t>API + UI/E2E</t>
        </is>
      </c>
      <c r="H5" s="5" t="inlineStr">
        <is>
          <t>POST /api/v1/common/auth/login/
POST /api/token/refresh/</t>
        </is>
      </c>
      <c r="I5" s="5" t="inlineStr">
        <is>
          <t>Có tài khoản theo trạng thái yêu cầu: ACTIVE/UNVERIFIED/LOCKED và membership phù hợp.</t>
        </is>
      </c>
      <c r="J5" s="5" t="inlineStr">
        <is>
          <t>login=user@example.com; password=StrongPass!2026; devices=S1/S2</t>
        </is>
      </c>
      <c r="K5" s="5" t="inlineStr">
        <is>
          <t>1. Chuẩn bị dữ liệu đúng mục 'Điều kiện trước' và ghi lại các ID ban đầu.
2. Mở màn hình/API tương ứng ở trạng thái chưa xác thực, trừ khi kịch bản yêu cầu session có sẵn.
3. Thực hiện kịch bản: Đăng nhập bằng username hợp lệ, không phân biệt hoa thường.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5" s="5" t="inlineStr">
        <is>
          <t>Thành công như email; ghi LoginLog SUCCESS</t>
        </is>
      </c>
      <c r="M5" s="5" t="inlineStr">
        <is>
          <t>Session và LoginLog đúng; không cấp token ngoài luồng thành công.</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COM03-03</t>
        </is>
      </c>
      <c r="C6" s="4" t="inlineStr">
        <is>
          <t>UC-COM-03</t>
        </is>
      </c>
      <c r="D6" s="4" t="inlineStr">
        <is>
          <t>Sai password hoặc identifier không tồn tại</t>
        </is>
      </c>
      <c r="E6" s="15" t="inlineStr">
        <is>
          <t>P0</t>
        </is>
      </c>
      <c r="F6" s="4" t="inlineStr">
        <is>
          <t>Functional</t>
        </is>
      </c>
      <c r="G6" s="4" t="inlineStr">
        <is>
          <t>API + UI/E2E</t>
        </is>
      </c>
      <c r="H6" s="4" t="inlineStr">
        <is>
          <t>POST /api/v1/common/auth/login/
POST /api/token/refresh/</t>
        </is>
      </c>
      <c r="I6" s="4" t="inlineStr">
        <is>
          <t>Có tài khoản theo trạng thái yêu cầu: ACTIVE/UNVERIFIED/LOCKED và membership phù hợp.</t>
        </is>
      </c>
      <c r="J6" s="4" t="inlineStr">
        <is>
          <t>login=user@example.com; password=StrongPass!2026; devices=S1/S2
Bổ sung: AI stub hỗ trợ success, timeout, HTTP 500, invalid JSON và oversized response</t>
        </is>
      </c>
      <c r="K6" s="4" t="inlineStr">
        <is>
          <t>1. Chuẩn bị dữ liệu đúng mục 'Điều kiện trước' và ghi lại các ID ban đầu.
2. Mở màn hình/API tương ứng ở trạng thái chưa xác thực, trừ khi kịch bản yêu cầu session có sẵn.
3. Thực hiện kịch bản: Sai password hoặc identifier không tồn tại.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6" s="4" t="inlineStr">
        <is>
          <t>401; thông báo không cho phép suy ra tài khoản tồn tại; ghi log phù hợp</t>
        </is>
      </c>
      <c r="M6" s="4" t="inlineStr">
        <is>
          <t>Session và LoginLog đúng; không cấp token ngoài luồng thành công.</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COM03-04</t>
        </is>
      </c>
      <c r="C7" s="5" t="inlineStr">
        <is>
          <t>UC-COM-03</t>
        </is>
      </c>
      <c r="D7" s="5" t="inlineStr">
        <is>
          <t>Tài khoản chưa xác thực</t>
        </is>
      </c>
      <c r="E7" s="15" t="inlineStr">
        <is>
          <t>P0</t>
        </is>
      </c>
      <c r="F7" s="5" t="inlineStr">
        <is>
          <t>Functional</t>
        </is>
      </c>
      <c r="G7" s="5" t="inlineStr">
        <is>
          <t>API + UI/E2E</t>
        </is>
      </c>
      <c r="H7" s="5" t="inlineStr">
        <is>
          <t>POST /api/v1/common/auth/login/
POST /api/token/refresh/</t>
        </is>
      </c>
      <c r="I7" s="5" t="inlineStr">
        <is>
          <t>Có tài khoản theo trạng thái yêu cầu: ACTIVE/UNVERIFIED/LOCKED và membership phù hợp.</t>
        </is>
      </c>
      <c r="J7" s="5" t="inlineStr">
        <is>
          <t>login=user@example.com; password=StrongPass!2026; devices=S1/S2</t>
        </is>
      </c>
      <c r="K7" s="5" t="inlineStr">
        <is>
          <t>1. Chuẩn bị dữ liệu đúng mục 'Điều kiện trước' và ghi lại các ID ban đầu.
2. Mở màn hình/API tương ứng ở trạng thái chưa xác thực, trừ khi kịch bản yêu cầu session có sẵn.
3. Thực hiện kịch bản: Tài khoản chưa xác thực.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7" s="5" t="inlineStr">
        <is>
          <t>401 với trạng thái pending verification; không cấp token</t>
        </is>
      </c>
      <c r="M7" s="5" t="inlineStr">
        <is>
          <t>Session và LoginLog đúng; không cấp token ngoài luồng thành công.</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COM03-05</t>
        </is>
      </c>
      <c r="C8" s="4" t="inlineStr">
        <is>
          <t>UC-COM-03</t>
        </is>
      </c>
      <c r="D8" s="4" t="inlineStr">
        <is>
          <t>Sai 5 lần liên tiếp</t>
        </is>
      </c>
      <c r="E8" s="15" t="inlineStr">
        <is>
          <t>P0</t>
        </is>
      </c>
      <c r="F8" s="4" t="inlineStr">
        <is>
          <t>Functional</t>
        </is>
      </c>
      <c r="G8" s="4" t="inlineStr">
        <is>
          <t>API + UI/E2E</t>
        </is>
      </c>
      <c r="H8" s="4" t="inlineStr">
        <is>
          <t>POST /api/v1/common/auth/login/
POST /api/token/refresh/</t>
        </is>
      </c>
      <c r="I8" s="4" t="inlineStr">
        <is>
          <t>Có tài khoản theo trạng thái yêu cầu: ACTIVE/UNVERIFIED/LOCKED và membership phù hợp.</t>
        </is>
      </c>
      <c r="J8" s="4" t="inlineStr">
        <is>
          <t>login=user@example.com; password=StrongPass!2026; devices=S1/S2
Bổ sung: AI stub hỗ trợ success, timeout, HTTP 500, invalid JSON và oversized response</t>
        </is>
      </c>
      <c r="K8" s="4" t="inlineStr">
        <is>
          <t>1. Chuẩn bị dữ liệu đúng mục 'Điều kiện trước' và ghi lại các ID ban đầu.
2. Mở màn hình/API tương ứng ở trạng thái chưa xác thực, trừ khi kịch bản yêu cầu session có sẵn.
3. Thực hiện kịch bản: Sai 5 lần liên tiếp.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8" s="4" t="inlineStr">
        <is>
          <t>Tài khoản khóa 15 phút; các session đang hoạt động bị revoke</t>
        </is>
      </c>
      <c r="M8" s="4" t="inlineStr">
        <is>
          <t>Session và LoginLog đúng; không cấp token ngoài luồng thành công.</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COM03-06</t>
        </is>
      </c>
      <c r="C9" s="5" t="inlineStr">
        <is>
          <t>UC-COM-03</t>
        </is>
      </c>
      <c r="D9" s="5" t="inlineStr">
        <is>
          <t>Đăng nhập đúng trong thời gian bị khóa</t>
        </is>
      </c>
      <c r="E9" s="15" t="inlineStr">
        <is>
          <t>P0</t>
        </is>
      </c>
      <c r="F9" s="5" t="inlineStr">
        <is>
          <t>Security/Authorization</t>
        </is>
      </c>
      <c r="G9" s="5" t="inlineStr">
        <is>
          <t>API + Integration</t>
        </is>
      </c>
      <c r="H9" s="5" t="inlineStr">
        <is>
          <t>POST /api/v1/common/auth/login/
POST /api/token/refresh/</t>
        </is>
      </c>
      <c r="I9" s="5" t="inlineStr">
        <is>
          <t>Có tài khoản theo trạng thái yêu cầu: ACTIVE/UNVERIFIED/LOCKED và membership phù hợp.</t>
        </is>
      </c>
      <c r="J9" s="5" t="inlineStr">
        <is>
          <t>login=user@example.com; password=StrongPass!2026; devices=S1/S2</t>
        </is>
      </c>
      <c r="K9" s="5" t="inlineStr">
        <is>
          <t>1. Chuẩn bị dữ liệu đúng mục 'Điều kiện trước' và ghi lại các ID ban đầu.
2. Mở màn hình/API tương ứng ở trạng thái chưa xác thực, trừ khi kịch bản yêu cầu session có sẵn.
3. Thực hiện kịch bản: Đăng nhập đúng trong thời gian bị khóa.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9" s="5" t="inlineStr">
        <is>
          <t>Bị từ chối bằng thông báo chung; không tiết lộ chi tiết khóa</t>
        </is>
      </c>
      <c r="M9" s="5" t="inlineStr">
        <is>
          <t>Session và LoginLog đúng; không cấp token ngoài luồng thành công.</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COM03-07</t>
        </is>
      </c>
      <c r="C10" s="4" t="inlineStr">
        <is>
          <t>UC-COM-03</t>
        </is>
      </c>
      <c r="D10" s="4" t="inlineStr">
        <is>
          <t>Đăng nhập sau khi hết thời gian khóa</t>
        </is>
      </c>
      <c r="E10" s="19" t="inlineStr">
        <is>
          <t>P1</t>
        </is>
      </c>
      <c r="F10" s="4" t="inlineStr">
        <is>
          <t>Security/Authorization</t>
        </is>
      </c>
      <c r="G10" s="4" t="inlineStr">
        <is>
          <t>API + Integration</t>
        </is>
      </c>
      <c r="H10" s="4" t="inlineStr">
        <is>
          <t>POST /api/v1/common/auth/login/
POST /api/token/refresh/</t>
        </is>
      </c>
      <c r="I10" s="4" t="inlineStr">
        <is>
          <t>Có tài khoản theo trạng thái yêu cầu: ACTIVE/UNVERIFIED/LOCKED và membership phù hợp.</t>
        </is>
      </c>
      <c r="J10" s="4" t="inlineStr">
        <is>
          <t>login=user@example.com; password=StrongPass!2026; devices=S1/S2</t>
        </is>
      </c>
      <c r="K10" s="4" t="inlineStr">
        <is>
          <t>1. Chuẩn bị dữ liệu đúng mục 'Điều kiện trước' và ghi lại các ID ban đầu.
2. Mở màn hình/API tương ứng ở trạng thái chưa xác thực, trừ khi kịch bản yêu cầu session có sẵn.
3. Thực hiện kịch bản: Đăng nhập sau khi hết thời gian khóa.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0" s="4" t="inlineStr">
        <is>
          <t>Thành công; reset failed count và locked_until</t>
        </is>
      </c>
      <c r="M10" s="4" t="inlineStr">
        <is>
          <t>Session và LoginLog đúng; không cấp token ngoài luồng thành công.</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COM03-08</t>
        </is>
      </c>
      <c r="C11" s="5" t="inlineStr">
        <is>
          <t>UC-COM-03</t>
        </is>
      </c>
      <c r="D11" s="5" t="inlineStr">
        <is>
          <t>Vượt rate limit 30 lần/5 phút</t>
        </is>
      </c>
      <c r="E11" s="15" t="inlineStr">
        <is>
          <t>P0</t>
        </is>
      </c>
      <c r="F11" s="5" t="inlineStr">
        <is>
          <t>Security/Authorization</t>
        </is>
      </c>
      <c r="G11" s="5" t="inlineStr">
        <is>
          <t>API + Integration</t>
        </is>
      </c>
      <c r="H11" s="5" t="inlineStr">
        <is>
          <t>POST /api/v1/common/auth/login/
POST /api/token/refresh/</t>
        </is>
      </c>
      <c r="I11" s="5" t="inlineStr">
        <is>
          <t>Có tài khoản theo trạng thái yêu cầu: ACTIVE/UNVERIFIED/LOCKED và membership phù hợp.</t>
        </is>
      </c>
      <c r="J11" s="5" t="inlineStr">
        <is>
          <t>login=user@example.com; password=StrongPass!2026; devices=S1/S2
Bổ sung: Gửi request liên tiếp vượt ngưỡng cấu hình từ cùng identifier/IP</t>
        </is>
      </c>
      <c r="K11" s="5" t="inlineStr">
        <is>
          <t>1. Chuẩn bị dữ liệu đúng mục 'Điều kiện trước' và ghi lại các ID ban đầu.
2. Mở màn hình/API tương ứng ở trạng thái chưa xác thực, trừ khi kịch bản yêu cầu session có sẵn.
3. Thực hiện kịch bản: Vượt rate limit 30 lần/5 phút.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1" s="5" t="inlineStr">
        <is>
          <t>429; áp dụng theo identifier và IP</t>
        </is>
      </c>
      <c r="M11" s="5" t="inlineStr">
        <is>
          <t>Session và LoginLog đúng; không cấp token ngoài luồng thành công.</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COM03-09</t>
        </is>
      </c>
      <c r="C12" s="4" t="inlineStr">
        <is>
          <t>UC-COM-03</t>
        </is>
      </c>
      <c r="D12" s="4" t="inlineStr">
        <is>
          <t>User chưa có doanh nghiệp</t>
        </is>
      </c>
      <c r="E12" s="19" t="inlineStr">
        <is>
          <t>P1</t>
        </is>
      </c>
      <c r="F12" s="4" t="inlineStr">
        <is>
          <t>Functional</t>
        </is>
      </c>
      <c r="G12" s="4" t="inlineStr">
        <is>
          <t>API + UI/E2E</t>
        </is>
      </c>
      <c r="H12" s="4" t="inlineStr">
        <is>
          <t>POST /api/v1/common/auth/login/
POST /api/token/refresh/</t>
        </is>
      </c>
      <c r="I12" s="4" t="inlineStr">
        <is>
          <t>Có tài khoản theo trạng thái yêu cầu: ACTIVE/UNVERIFIED/LOCKED và membership phù hợp.</t>
        </is>
      </c>
      <c r="J12" s="4" t="inlineStr">
        <is>
          <t>login=user@example.com; password=StrongPass!2026; devices=S1/S2</t>
        </is>
      </c>
      <c r="K12" s="4" t="inlineStr">
        <is>
          <t>1. Chuẩn bị dữ liệu đúng mục 'Điều kiện trước' và ghi lại các ID ban đầu.
2. Mở màn hình/API tương ứng ở trạng thái chưa xác thực, trừ khi kịch bản yêu cầu session có sẵn.
3. Thực hiện kịch bản: User chưa có doanh nghiệp.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2" s="4" t="inlineStr">
        <is>
          <t>requires_company_setup=true; không tự chọn company</t>
        </is>
      </c>
      <c r="M12" s="4" t="inlineStr">
        <is>
          <t>Session và LoginLog đúng; không cấp token ngoài luồng thành công.</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COM03-10</t>
        </is>
      </c>
      <c r="C13" s="5" t="inlineStr">
        <is>
          <t>UC-COM-03</t>
        </is>
      </c>
      <c r="D13" s="5" t="inlineStr">
        <is>
          <t>User có đúng một doanh nghiệp</t>
        </is>
      </c>
      <c r="E13" s="19" t="inlineStr">
        <is>
          <t>P1</t>
        </is>
      </c>
      <c r="F13" s="5" t="inlineStr">
        <is>
          <t>Functional</t>
        </is>
      </c>
      <c r="G13" s="5" t="inlineStr">
        <is>
          <t>API + UI/E2E</t>
        </is>
      </c>
      <c r="H13" s="5" t="inlineStr">
        <is>
          <t>POST /api/v1/common/auth/login/
POST /api/token/refresh/</t>
        </is>
      </c>
      <c r="I13" s="5" t="inlineStr">
        <is>
          <t>Có tài khoản theo trạng thái yêu cầu: ACTIVE/UNVERIFIED/LOCKED và membership phù hợp.</t>
        </is>
      </c>
      <c r="J13" s="5" t="inlineStr">
        <is>
          <t>login=user@example.com; password=StrongPass!2026; devices=S1/S2</t>
        </is>
      </c>
      <c r="K13" s="5" t="inlineStr">
        <is>
          <t>1. Chuẩn bị dữ liệu đúng mục 'Điều kiện trước' và ghi lại các ID ban đầu.
2. Mở màn hình/API tương ứng ở trạng thái chưa xác thực, trừ khi kịch bản yêu cầu session có sẵn.
3. Thực hiện kịch bản: User có đúng một doanh nghiệp.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3" s="5" t="inlineStr">
        <is>
          <t>Tự chọn current_company; requires_company_selection=false</t>
        </is>
      </c>
      <c r="M13" s="5" t="inlineStr">
        <is>
          <t>Session và LoginLog đúng; không cấp token ngoài luồng thành công.</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COM03-11</t>
        </is>
      </c>
      <c r="C14" s="4" t="inlineStr">
        <is>
          <t>UC-COM-03</t>
        </is>
      </c>
      <c r="D14" s="4" t="inlineStr">
        <is>
          <t>User có nhiều doanh nghiệp</t>
        </is>
      </c>
      <c r="E14" s="19" t="inlineStr">
        <is>
          <t>P1</t>
        </is>
      </c>
      <c r="F14" s="4" t="inlineStr">
        <is>
          <t>Functional</t>
        </is>
      </c>
      <c r="G14" s="4" t="inlineStr">
        <is>
          <t>API + UI/E2E</t>
        </is>
      </c>
      <c r="H14" s="4" t="inlineStr">
        <is>
          <t>POST /api/v1/common/auth/login/
POST /api/token/refresh/</t>
        </is>
      </c>
      <c r="I14" s="4" t="inlineStr">
        <is>
          <t>Có tài khoản theo trạng thái yêu cầu: ACTIVE/UNVERIFIED/LOCKED và membership phù hợp.</t>
        </is>
      </c>
      <c r="J14" s="4" t="inlineStr">
        <is>
          <t>login=user@example.com; password=StrongPass!2026; devices=S1/S2</t>
        </is>
      </c>
      <c r="K14" s="4" t="inlineStr">
        <is>
          <t>1. Chuẩn bị dữ liệu đúng mục 'Điều kiện trước' và ghi lại các ID ban đầu.
2. Mở màn hình/API tương ứng ở trạng thái chưa xác thực, trừ khi kịch bản yêu cầu session có sẵn.
3. Thực hiện kịch bản: User có nhiều doanh nghiệp.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4" s="4" t="inlineStr">
        <is>
          <t>requires_company_selection=true; không tự chọn tùy tiện</t>
        </is>
      </c>
      <c r="M14" s="4" t="inlineStr">
        <is>
          <t>Session và LoginLog đúng; không cấp token ngoài luồng thành công.</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COM03-12</t>
        </is>
      </c>
      <c r="C15" s="5" t="inlineStr">
        <is>
          <t>UC-COM-03</t>
        </is>
      </c>
      <c r="D15" s="5" t="inlineStr">
        <is>
          <t>Refresh token hợp lệ/revoked/hết hạn/sai chữ ký</t>
        </is>
      </c>
      <c r="E15" s="15" t="inlineStr">
        <is>
          <t>P0</t>
        </is>
      </c>
      <c r="F15" s="5" t="inlineStr">
        <is>
          <t>Functional</t>
        </is>
      </c>
      <c r="G15" s="5" t="inlineStr">
        <is>
          <t>API + UI/E2E</t>
        </is>
      </c>
      <c r="H15" s="5" t="inlineStr">
        <is>
          <t>POST /api/v1/common/auth/login/
POST /api/token/refresh/</t>
        </is>
      </c>
      <c r="I15" s="5" t="inlineStr">
        <is>
          <t>Có tài khoản theo trạng thái yêu cầu: ACTIVE/UNVERIFIED/LOCKED và membership phù hợp.</t>
        </is>
      </c>
      <c r="J15" s="5" t="inlineStr">
        <is>
          <t>login=user@example.com; password=StrongPass!2026; devices=S1/S2
Bổ sung: Điều chỉnh expires_at về quá khứ bằng fixture/admin test; AI stub hỗ trợ success, timeout, HTTP 500, invalid JSON và oversized response</t>
        </is>
      </c>
      <c r="K15" s="5" t="inlineStr">
        <is>
          <t>1. Chuẩn bị dữ liệu đúng mục 'Điều kiện trước' và ghi lại các ID ban đầu.
2. Mở màn hình/API tương ứng ở trạng thái chưa xác thực, trừ khi kịch bản yêu cầu session có sẵn.
3. Thực hiện kịch bản: Refresh token hợp lệ/revoked/hết hạn/sai chữ ký.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5" s="5" t="inlineStr">
        <is>
          <t>Chỉ token hợp lệ của session active được refresh; còn lại 401</t>
        </is>
      </c>
      <c r="M15" s="5" t="inlineStr">
        <is>
          <t>Session và LoginLog đúng; không cấp token ngoài luồng thành công.</t>
        </is>
      </c>
      <c r="N15" s="5" t="inlineStr"/>
      <c r="O15" s="18" t="inlineStr">
        <is>
          <t>Not Run</t>
        </is>
      </c>
      <c r="P15" s="5" t="inlineStr"/>
      <c r="Q15" s="5" t="inlineStr"/>
      <c r="R15" s="5" t="inlineStr"/>
      <c r="S15" s="5" t="inlineStr"/>
      <c r="T15" s="5" t="inlineStr"/>
      <c r="U15" s="5" t="inlineStr">
        <is>
          <t>Candidate</t>
        </is>
      </c>
      <c r="V15" s="5" t="inlineStr"/>
    </row>
    <row r="16" ht="132" customHeight="1">
      <c r="A16" s="4" t="n">
        <v>13</v>
      </c>
      <c r="B16" s="14" t="inlineStr">
        <is>
          <t>COM03-13</t>
        </is>
      </c>
      <c r="C16" s="4" t="inlineStr">
        <is>
          <t>UC-COM-03</t>
        </is>
      </c>
      <c r="D16" s="4" t="inlineStr">
        <is>
          <t>Hai thiết bị đăng nhập cùng lúc</t>
        </is>
      </c>
      <c r="E16" s="19" t="inlineStr">
        <is>
          <t>P1</t>
        </is>
      </c>
      <c r="F16" s="4" t="inlineStr">
        <is>
          <t>Functional</t>
        </is>
      </c>
      <c r="G16" s="4" t="inlineStr">
        <is>
          <t>API + UI/E2E</t>
        </is>
      </c>
      <c r="H16" s="4" t="inlineStr">
        <is>
          <t>POST /api/v1/common/auth/login/
POST /api/token/refresh/</t>
        </is>
      </c>
      <c r="I16" s="4" t="inlineStr">
        <is>
          <t>Có tài khoản theo trạng thái yêu cầu: ACTIVE/UNVERIFIED/LOCKED và membership phù hợp.</t>
        </is>
      </c>
      <c r="J16" s="4" t="inlineStr">
        <is>
          <t>login=user@example.com; password=StrongPass!2026; devices=S1/S2
Bổ sung: AI stub hỗ trợ success, timeout, HTTP 500, invalid JSON và oversized response</t>
        </is>
      </c>
      <c r="K16" s="4" t="inlineStr">
        <is>
          <t>1. Chuẩn bị dữ liệu đúng mục 'Điều kiện trước' và ghi lại các ID ban đầu.
2. Mở màn hình/API tương ứng ở trạng thái chưa xác thực, trừ khi kịch bản yêu cầu session có sẵn.
3. Thực hiện kịch bản: Hai thiết bị đăng nhập cùng lúc.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6" s="4" t="inlineStr">
        <is>
          <t>Tạo hai session ID độc lập, lưu IP/User-Agent và không ghi đè nhau</t>
        </is>
      </c>
      <c r="M16" s="4" t="inlineStr">
        <is>
          <t>Session và LoginLog đúng; không cấp token ngoài luồng thành công.</t>
        </is>
      </c>
      <c r="N16" s="4" t="inlineStr"/>
      <c r="O16" s="16" t="inlineStr">
        <is>
          <t>Not Run</t>
        </is>
      </c>
      <c r="P16" s="4" t="inlineStr"/>
      <c r="Q16" s="4" t="inlineStr"/>
      <c r="R16" s="4" t="inlineStr"/>
      <c r="S16" s="4" t="inlineStr"/>
      <c r="T16" s="4" t="inlineStr"/>
      <c r="U16" s="4" t="inlineStr">
        <is>
          <t>Candidate</t>
        </is>
      </c>
      <c r="V16" s="4" t="inlineStr"/>
    </row>
  </sheetData>
  <autoFilter ref="A3:V16"/>
  <mergeCells count="2">
    <mergeCell ref="A2:V2"/>
    <mergeCell ref="A1:V1"/>
  </mergeCells>
  <conditionalFormatting sqref="O4:O16">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6" showDropDown="0" showInputMessage="0" showErrorMessage="0" allowBlank="1" type="list">
      <formula1>"Not Run,Pass,Fail,Blocked,N/A"</formula1>
    </dataValidation>
    <dataValidation sqref="P4:P16" showDropDown="0" showInputMessage="0" showErrorMessage="0" allowBlank="1" type="list">
      <formula1>"S1 Critical,S2 High,S3 Medium,S4 Low"</formula1>
    </dataValidation>
    <dataValidation sqref="U4:U16" showDropDown="0" showInputMessage="0" showErrorMessage="0" allowBlank="1" type="list">
      <formula1>"Manual,Automated,Candidate,Not Applicable"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0"/>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UC-COM-04 – Đăng xuất</t>
        </is>
      </c>
    </row>
    <row r="2" ht="30" customHeight="1">
      <c r="A2" s="2" t="inlineStr">
        <is>
          <t>Nguồn: COMMON_SERVICES_TEST_PLAN.md | 7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COM04-01</t>
        </is>
      </c>
      <c r="C4" s="4" t="inlineStr">
        <is>
          <t>UC-COM-04</t>
        </is>
      </c>
      <c r="D4" s="4" t="inlineStr">
        <is>
          <t>Đăng xuất với access và refresh của cùng session S1</t>
        </is>
      </c>
      <c r="E4" s="15" t="inlineStr">
        <is>
          <t>P0</t>
        </is>
      </c>
      <c r="F4" s="4" t="inlineStr">
        <is>
          <t>Functional</t>
        </is>
      </c>
      <c r="G4" s="4" t="inlineStr">
        <is>
          <t>API + UI/E2E</t>
        </is>
      </c>
      <c r="H4" s="4" t="inlineStr">
        <is>
          <t>POST /api/v1/common/auth/logout/</t>
        </is>
      </c>
      <c r="I4" s="4" t="inlineStr">
        <is>
          <t>U3 đã đăng nhập; tạo S1 và S2 khi test case kiểm tra đa thiết bị.</t>
        </is>
      </c>
      <c r="J4" s="4" t="inlineStr">
        <is>
          <t>user=U3; sessions=S1,S2; access/refresh token tách biệt</t>
        </is>
      </c>
      <c r="K4" s="4" t="inlineStr">
        <is>
          <t>1. Chuẩn bị dữ liệu đúng mục 'Điều kiện trước' và ghi lại các ID ban đầu.
2. Đăng nhập bằng đúng actor/role và chọn company/branch theo điều kiện trước.
3. Thực hiện kịch bản: Đăng xuất với access và refresh của cùng session S1.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4" s="4" t="inlineStr">
        <is>
          <t>204; S1 revoked/refresh blacklisted; access S1 không gọi API được nữa</t>
        </is>
      </c>
      <c r="M4" s="4" t="inlineStr">
        <is>
          <t>Chỉ đúng session mục tiêu bị revoked/blacklisted.</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COM04-02</t>
        </is>
      </c>
      <c r="C5" s="5" t="inlineStr">
        <is>
          <t>UC-COM-04</t>
        </is>
      </c>
      <c r="D5" s="5" t="inlineStr">
        <is>
          <t>Sau khi logout S1, dùng S2 của cùng user</t>
        </is>
      </c>
      <c r="E5" s="15" t="inlineStr">
        <is>
          <t>P0</t>
        </is>
      </c>
      <c r="F5" s="5" t="inlineStr">
        <is>
          <t>Functional</t>
        </is>
      </c>
      <c r="G5" s="5" t="inlineStr">
        <is>
          <t>API + UI/E2E</t>
        </is>
      </c>
      <c r="H5" s="5" t="inlineStr">
        <is>
          <t>POST /api/v1/common/auth/logout/</t>
        </is>
      </c>
      <c r="I5" s="5" t="inlineStr">
        <is>
          <t>U3 đã đăng nhập; tạo S1 và S2 khi test case kiểm tra đa thiết bị.</t>
        </is>
      </c>
      <c r="J5" s="5" t="inlineStr">
        <is>
          <t>user=U3; sessions=S1,S2; access/refresh token tách biệt</t>
        </is>
      </c>
      <c r="K5" s="5" t="inlineStr">
        <is>
          <t>1. Chuẩn bị dữ liệu đúng mục 'Điều kiện trước' và ghi lại các ID ban đầu.
2. Đăng nhập bằng đúng actor/role và chọn company/branch theo điều kiện trước.
3. Thực hiện kịch bản: Sau khi logout S1, dùng S2 của cùng user.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5" s="5" t="inlineStr">
        <is>
          <t>S2 vẫn hoạt động bình thường</t>
        </is>
      </c>
      <c r="M5" s="5" t="inlineStr">
        <is>
          <t>Chỉ đúng session mục tiêu bị revoked/blacklisted.</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COM04-03</t>
        </is>
      </c>
      <c r="C6" s="4" t="inlineStr">
        <is>
          <t>UC-COM-04</t>
        </is>
      </c>
      <c r="D6" s="4" t="inlineStr">
        <is>
          <t>Logout không gửi refresh</t>
        </is>
      </c>
      <c r="E6" s="15" t="inlineStr">
        <is>
          <t>P0</t>
        </is>
      </c>
      <c r="F6" s="4" t="inlineStr">
        <is>
          <t>Functional</t>
        </is>
      </c>
      <c r="G6" s="4" t="inlineStr">
        <is>
          <t>API + UI/E2E</t>
        </is>
      </c>
      <c r="H6" s="4" t="inlineStr">
        <is>
          <t>POST /api/v1/common/auth/logout/</t>
        </is>
      </c>
      <c r="I6" s="4" t="inlineStr">
        <is>
          <t>U3 đã đăng nhập; tạo S1 và S2 khi test case kiểm tra đa thiết bị.</t>
        </is>
      </c>
      <c r="J6" s="4" t="inlineStr">
        <is>
          <t>user=U3; sessions=S1,S2; access/refresh token tách biệt</t>
        </is>
      </c>
      <c r="K6" s="4" t="inlineStr">
        <is>
          <t>1. Chuẩn bị dữ liệu đúng mục 'Điều kiện trước' và ghi lại các ID ban đầu.
2. Đăng nhập bằng đúng actor/role và chọn company/branch theo điều kiện trước.
3. Thực hiện kịch bản: Logout không gửi refresh.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6" s="4" t="inlineStr">
        <is>
          <t>Session theo sid của access vẫn bị revoke</t>
        </is>
      </c>
      <c r="M6" s="4" t="inlineStr">
        <is>
          <t>Chỉ đúng session mục tiêu bị revoked/blacklisted.</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COM04-04</t>
        </is>
      </c>
      <c r="C7" s="5" t="inlineStr">
        <is>
          <t>UC-COM-04</t>
        </is>
      </c>
      <c r="D7" s="5" t="inlineStr">
        <is>
          <t>Gửi refresh của session khác cùng user</t>
        </is>
      </c>
      <c r="E7" s="15" t="inlineStr">
        <is>
          <t>P0</t>
        </is>
      </c>
      <c r="F7" s="5" t="inlineStr">
        <is>
          <t>Functional</t>
        </is>
      </c>
      <c r="G7" s="5" t="inlineStr">
        <is>
          <t>API + UI/E2E</t>
        </is>
      </c>
      <c r="H7" s="5" t="inlineStr">
        <is>
          <t>POST /api/v1/common/auth/logout/</t>
        </is>
      </c>
      <c r="I7" s="5" t="inlineStr">
        <is>
          <t>U3 đã đăng nhập; tạo S1 và S2 khi test case kiểm tra đa thiết bị.</t>
        </is>
      </c>
      <c r="J7" s="5" t="inlineStr">
        <is>
          <t>user=U3; sessions=S1,S2; access/refresh token tách biệt</t>
        </is>
      </c>
      <c r="K7" s="5" t="inlineStr">
        <is>
          <t>1. Chuẩn bị dữ liệu đúng mục 'Điều kiện trước' và ghi lại các ID ban đầu.
2. Đăng nhập bằng đúng actor/role và chọn company/branch theo điều kiện trước.
3. Thực hiện kịch bản: Gửi refresh của session khác cùng user.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7" s="5" t="inlineStr">
        <is>
          <t>Không blacklist nhầm session khác; chỉ session hiện tại bị thu hồi</t>
        </is>
      </c>
      <c r="M7" s="5" t="inlineStr">
        <is>
          <t>Chỉ đúng session mục tiêu bị revoked/blacklisted.</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COM04-05</t>
        </is>
      </c>
      <c r="C8" s="4" t="inlineStr">
        <is>
          <t>UC-COM-04</t>
        </is>
      </c>
      <c r="D8" s="4" t="inlineStr">
        <is>
          <t>Refresh sai định dạng/đã blacklist trong body</t>
        </is>
      </c>
      <c r="E8" s="19" t="inlineStr">
        <is>
          <t>P1</t>
        </is>
      </c>
      <c r="F8" s="4" t="inlineStr">
        <is>
          <t>Functional</t>
        </is>
      </c>
      <c r="G8" s="4" t="inlineStr">
        <is>
          <t>API + UI/E2E</t>
        </is>
      </c>
      <c r="H8" s="4" t="inlineStr">
        <is>
          <t>POST /api/v1/common/auth/logout/</t>
        </is>
      </c>
      <c r="I8" s="4" t="inlineStr">
        <is>
          <t>U3 đã đăng nhập; tạo S1 và S2 khi test case kiểm tra đa thiết bị.</t>
        </is>
      </c>
      <c r="J8" s="4" t="inlineStr">
        <is>
          <t>user=U3; sessions=S1,S2; access/refresh token tách biệt
Bổ sung: AI stub hỗ trợ success, timeout, HTTP 500, invalid JSON và oversized response</t>
        </is>
      </c>
      <c r="K8" s="4" t="inlineStr">
        <is>
          <t>1. Chuẩn bị dữ liệu đúng mục 'Điều kiện trước' và ghi lại các ID ban đầu.
2. Đăng nhập bằng đúng actor/role và chọn company/branch theo điều kiện trước.
3. Thực hiện kịch bản: Refresh sai định dạng/đã blacklist trong body.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8" s="4" t="inlineStr">
        <is>
          <t>Logout vẫn an toàn và idempotent, không phát sinh lỗi 5xx</t>
        </is>
      </c>
      <c r="M8" s="4" t="inlineStr">
        <is>
          <t>Chỉ đúng session mục tiêu bị revoked/blacklisted.</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COM04-06</t>
        </is>
      </c>
      <c r="C9" s="5" t="inlineStr">
        <is>
          <t>UC-COM-04</t>
        </is>
      </c>
      <c r="D9" s="5" t="inlineStr">
        <is>
          <t>Không có access token hoặc access đã hết hạn</t>
        </is>
      </c>
      <c r="E9" s="15" t="inlineStr">
        <is>
          <t>P0</t>
        </is>
      </c>
      <c r="F9" s="5" t="inlineStr">
        <is>
          <t>Functional</t>
        </is>
      </c>
      <c r="G9" s="5" t="inlineStr">
        <is>
          <t>API + UI/E2E</t>
        </is>
      </c>
      <c r="H9" s="5" t="inlineStr">
        <is>
          <t>POST /api/v1/common/auth/logout/</t>
        </is>
      </c>
      <c r="I9" s="5" t="inlineStr">
        <is>
          <t>U3 đã đăng nhập; tạo S1 và S2 khi test case kiểm tra đa thiết bị.</t>
        </is>
      </c>
      <c r="J9" s="5" t="inlineStr">
        <is>
          <t>user=U3; sessions=S1,S2; access/refresh token tách biệt
Bổ sung: Điều chỉnh expires_at về quá khứ bằng fixture/admin test</t>
        </is>
      </c>
      <c r="K9" s="5" t="inlineStr">
        <is>
          <t>1. Chuẩn bị dữ liệu đúng mục 'Điều kiện trước' và ghi lại các ID ban đầu.
2. Đăng nhập bằng đúng actor/role và chọn company/branch theo điều kiện trước.
3. Thực hiện kịch bản: Không có access token hoặc access đã hết hạn.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9" s="5" t="inlineStr">
        <is>
          <t>401; không tác động session của user khác</t>
        </is>
      </c>
      <c r="M9" s="5" t="inlineStr">
        <is>
          <t>Chỉ đúng session mục tiêu bị revoked/blacklisted.</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COM04-07</t>
        </is>
      </c>
      <c r="C10" s="4" t="inlineStr">
        <is>
          <t>UC-COM-04</t>
        </is>
      </c>
      <c r="D10" s="4" t="inlineStr">
        <is>
          <t>Gọi logout lặp lại</t>
        </is>
      </c>
      <c r="E10" s="19" t="inlineStr">
        <is>
          <t>P1</t>
        </is>
      </c>
      <c r="F10" s="4" t="inlineStr">
        <is>
          <t>Concurrency/Idempotency</t>
        </is>
      </c>
      <c r="G10" s="4" t="inlineStr">
        <is>
          <t>Integration</t>
        </is>
      </c>
      <c r="H10" s="4" t="inlineStr">
        <is>
          <t>POST /api/v1/common/auth/logout/</t>
        </is>
      </c>
      <c r="I10" s="4" t="inlineStr">
        <is>
          <t>U3 đã đăng nhập; tạo S1 và S2 khi test case kiểm tra đa thiết bị.</t>
        </is>
      </c>
      <c r="J10" s="4" t="inlineStr">
        <is>
          <t>user=U3; sessions=S1,S2; access/refresh token tách biệt</t>
        </is>
      </c>
      <c r="K10" s="4" t="inlineStr">
        <is>
          <t>1. Chuẩn bị dữ liệu đúng mục 'Điều kiện trước' và ghi lại các ID ban đầu.
2. Đăng nhập bằng đúng actor/role và chọn company/branch theo điều kiện trước.
3. Thực hiện kịch bản: Gọi logout lặp lại.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10" s="4" t="inlineStr">
        <is>
          <t>Không tạo side effect nguy hiểm; token tiếp tục không dùng được</t>
        </is>
      </c>
      <c r="M10" s="4" t="inlineStr">
        <is>
          <t>Chỉ đúng session mục tiêu bị revoked/blacklisted.</t>
        </is>
      </c>
      <c r="N10" s="4" t="inlineStr"/>
      <c r="O10" s="16" t="inlineStr">
        <is>
          <t>Not Run</t>
        </is>
      </c>
      <c r="P10" s="4" t="inlineStr"/>
      <c r="Q10" s="4" t="inlineStr"/>
      <c r="R10" s="4" t="inlineStr"/>
      <c r="S10" s="4" t="inlineStr"/>
      <c r="T10" s="4" t="inlineStr"/>
      <c r="U10" s="4" t="inlineStr">
        <is>
          <t>Candidate</t>
        </is>
      </c>
      <c r="V10" s="4" t="inlineStr"/>
    </row>
  </sheetData>
  <autoFilter ref="A3:V10"/>
  <mergeCells count="2">
    <mergeCell ref="A2:V2"/>
    <mergeCell ref="A1:V1"/>
  </mergeCells>
  <conditionalFormatting sqref="O4:O10">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0" showDropDown="0" showInputMessage="0" showErrorMessage="0" allowBlank="1" type="list">
      <formula1>"Not Run,Pass,Fail,Blocked,N/A"</formula1>
    </dataValidation>
    <dataValidation sqref="P4:P10" showDropDown="0" showInputMessage="0" showErrorMessage="0" allowBlank="1" type="list">
      <formula1>"S1 Critical,S2 High,S3 Medium,S4 Low"</formula1>
    </dataValidation>
    <dataValidation sqref="U4:U10" showDropDown="0" showInputMessage="0" showErrorMessage="0" allowBlank="1" type="list">
      <formula1>"Manual,Automated,Candidate,Not Applicable"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4"/>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UC-COM-05 – Quên và đặt lại mật khẩu</t>
        </is>
      </c>
    </row>
    <row r="2" ht="30" customHeight="1">
      <c r="A2" s="2" t="inlineStr">
        <is>
          <t>Nguồn: COMMON_SERVICES_TEST_PLAN.md | 11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COM05-01</t>
        </is>
      </c>
      <c r="C4" s="4" t="inlineStr">
        <is>
          <t>UC-COM-05</t>
        </is>
      </c>
      <c r="D4" s="4" t="inlineStr">
        <is>
          <t>Yêu cầu reset bằng email/username của tài khoản active đã verify</t>
        </is>
      </c>
      <c r="E4" s="15" t="inlineStr">
        <is>
          <t>P0</t>
        </is>
      </c>
      <c r="F4" s="4" t="inlineStr">
        <is>
          <t>Functional</t>
        </is>
      </c>
      <c r="G4" s="4" t="inlineStr">
        <is>
          <t>API + UI/E2E</t>
        </is>
      </c>
      <c r="H4" s="4" t="inlineStr">
        <is>
          <t>POST /api/v1/common/auth/forgot-password/
POST /api/v1/common/auth/reset-password/</t>
        </is>
      </c>
      <c r="I4" s="4" t="inlineStr">
        <is>
          <t>Có tài khoản ACTIVE đã verify email; email sandbox hoạt động; tạo nhiều session khi cần.</t>
        </is>
      </c>
      <c r="J4" s="4" t="inlineStr">
        <is>
          <t>identifier=user@example.com; new_password=NewStrongPass!2026
Bổ sung: AI stub hỗ trợ success, timeout, HTTP 500, invalid JSON và oversized response</t>
        </is>
      </c>
      <c r="K4" s="4" t="inlineStr">
        <is>
          <t>1. Chuẩn bị dữ liệu đúng mục 'Điều kiện trước' và ghi lại các ID ban đầu.
2. Mở màn hình/API tương ứng ở trạng thái chưa xác thực, trừ khi kịch bản yêu cầu session có sẵn.
3. Thực hiện kịch bản: Yêu cầu reset bằng email/username của tài khoản active đã verify.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4" s="4" t="inlineStr">
        <is>
          <t>Luôn 202; tạo challenge PASSWORD_RESET và gửi OTP tới email đã verify</t>
        </is>
      </c>
      <c r="M4" s="4" t="inlineStr">
        <is>
          <t>Challenge consumed đúng lúc; password/session state nhất quán.</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COM05-02</t>
        </is>
      </c>
      <c r="C5" s="5" t="inlineStr">
        <is>
          <t>UC-COM-05</t>
        </is>
      </c>
      <c r="D5" s="5" t="inlineStr">
        <is>
          <t>Identifier không tồn tại, inactive hoặc chưa verify</t>
        </is>
      </c>
      <c r="E5" s="15" t="inlineStr">
        <is>
          <t>P0</t>
        </is>
      </c>
      <c r="F5" s="5" t="inlineStr">
        <is>
          <t>Functional</t>
        </is>
      </c>
      <c r="G5" s="5" t="inlineStr">
        <is>
          <t>API + UI/E2E</t>
        </is>
      </c>
      <c r="H5" s="5" t="inlineStr">
        <is>
          <t>POST /api/v1/common/auth/forgot-password/
POST /api/v1/common/auth/reset-password/</t>
        </is>
      </c>
      <c r="I5" s="5" t="inlineStr">
        <is>
          <t>Có tài khoản ACTIVE đã verify email; email sandbox hoạt động; tạo nhiều session khi cần.</t>
        </is>
      </c>
      <c r="J5" s="5" t="inlineStr">
        <is>
          <t>identifier=user@example.com; new_password=NewStrongPass!2026</t>
        </is>
      </c>
      <c r="K5" s="5" t="inlineStr">
        <is>
          <t>1. Chuẩn bị dữ liệu đúng mục 'Điều kiện trước' và ghi lại các ID ban đầu.
2. Mở màn hình/API tương ứng ở trạng thái chưa xác thực, trừ khi kịch bản yêu cầu session có sẵn.
3. Thực hiện kịch bản: Identifier không tồn tại, inactive hoặc chưa verify.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5" s="5" t="inlineStr">
        <is>
          <t>Cùng status/response shape/thời gian gần tương đương; không gửi email; không lộ account existence</t>
        </is>
      </c>
      <c r="M5" s="5" t="inlineStr">
        <is>
          <t>Challenge consumed đúng lúc; password/session state nhất quán.</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COM05-03</t>
        </is>
      </c>
      <c r="C6" s="4" t="inlineStr">
        <is>
          <t>UC-COM-05</t>
        </is>
      </c>
      <c r="D6" s="4" t="inlineStr">
        <is>
          <t>Yêu cầu lại trong cooldown</t>
        </is>
      </c>
      <c r="E6" s="19" t="inlineStr">
        <is>
          <t>P1</t>
        </is>
      </c>
      <c r="F6" s="4" t="inlineStr">
        <is>
          <t>Functional</t>
        </is>
      </c>
      <c r="G6" s="4" t="inlineStr">
        <is>
          <t>API + UI/E2E</t>
        </is>
      </c>
      <c r="H6" s="4" t="inlineStr">
        <is>
          <t>POST /api/v1/common/auth/forgot-password/
POST /api/v1/common/auth/reset-password/</t>
        </is>
      </c>
      <c r="I6" s="4" t="inlineStr">
        <is>
          <t>Có tài khoản ACTIVE đã verify email; email sandbox hoạt động; tạo nhiều session khi cần.</t>
        </is>
      </c>
      <c r="J6" s="4" t="inlineStr">
        <is>
          <t>identifier=user@example.com; new_password=NewStrongPass!2026</t>
        </is>
      </c>
      <c r="K6" s="4" t="inlineStr">
        <is>
          <t>1. Chuẩn bị dữ liệu đúng mục 'Điều kiện trước' và ghi lại các ID ban đầu.
2. Mở màn hình/API tương ứng ở trạng thái chưa xác thực, trừ khi kịch bản yêu cầu session có sẵn.
3. Thực hiện kịch bản: Yêu cầu lại trong cooldown.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6" s="4" t="inlineStr">
        <is>
          <t>Bị hạn chế theo quy tắc; không tạo nhiều OTP còn hiệu lực</t>
        </is>
      </c>
      <c r="M6" s="4" t="inlineStr">
        <is>
          <t>Challenge consumed đúng lúc; password/session state nhất quán.</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COM05-04</t>
        </is>
      </c>
      <c r="C7" s="5" t="inlineStr">
        <is>
          <t>UC-COM-05</t>
        </is>
      </c>
      <c r="D7" s="5" t="inlineStr">
        <is>
          <t>Reset với OTP đúng và mật khẩu mạnh</t>
        </is>
      </c>
      <c r="E7" s="15" t="inlineStr">
        <is>
          <t>P0</t>
        </is>
      </c>
      <c r="F7" s="5" t="inlineStr">
        <is>
          <t>Functional</t>
        </is>
      </c>
      <c r="G7" s="5" t="inlineStr">
        <is>
          <t>API + UI/E2E</t>
        </is>
      </c>
      <c r="H7" s="5" t="inlineStr">
        <is>
          <t>POST /api/v1/common/auth/forgot-password/
POST /api/v1/common/auth/reset-password/</t>
        </is>
      </c>
      <c r="I7" s="5" t="inlineStr">
        <is>
          <t>Có tài khoản ACTIVE đã verify email; email sandbox hoạt động; tạo nhiều session khi cần.</t>
        </is>
      </c>
      <c r="J7" s="5" t="inlineStr">
        <is>
          <t>identifier=user@example.com; new_password=NewStrongPass!2026
Bổ sung: OTP đúng: lấy từ email sandbox; OTP sai: 000000; challenge UUID từ response</t>
        </is>
      </c>
      <c r="K7" s="5" t="inlineStr">
        <is>
          <t>1. Chuẩn bị dữ liệu đúng mục 'Điều kiện trước' và ghi lại các ID ban đầu.
2. Mở màn hình/API tương ứng ở trạng thái chưa xác thực, trừ khi kịch bản yêu cầu session có sẵn.
3. Thực hiện kịch bản: Reset với OTP đúng và mật khẩu mạnh.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7" s="5" t="inlineStr">
        <is>
          <t>200; đổi password; challenge consumed; reset failed-login/lock state</t>
        </is>
      </c>
      <c r="M7" s="5" t="inlineStr">
        <is>
          <t>Challenge consumed đúng lúc; password/session state nhất quán.</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COM05-05</t>
        </is>
      </c>
      <c r="C8" s="4" t="inlineStr">
        <is>
          <t>UC-COM-05</t>
        </is>
      </c>
      <c r="D8" s="4" t="inlineStr">
        <is>
          <t>OTP sai/hết hạn/đã dùng/sai purpose</t>
        </is>
      </c>
      <c r="E8" s="15" t="inlineStr">
        <is>
          <t>P0</t>
        </is>
      </c>
      <c r="F8" s="4" t="inlineStr">
        <is>
          <t>Functional</t>
        </is>
      </c>
      <c r="G8" s="4" t="inlineStr">
        <is>
          <t>API + UI/E2E</t>
        </is>
      </c>
      <c r="H8" s="4" t="inlineStr">
        <is>
          <t>POST /api/v1/common/auth/forgot-password/
POST /api/v1/common/auth/reset-password/</t>
        </is>
      </c>
      <c r="I8" s="4" t="inlineStr">
        <is>
          <t>Có tài khoản ACTIVE đã verify email; email sandbox hoạt động; tạo nhiều session khi cần.</t>
        </is>
      </c>
      <c r="J8" s="4" t="inlineStr">
        <is>
          <t>identifier=user@example.com; new_password=NewStrongPass!2026
Bổ sung: OTP đúng: lấy từ email sandbox; OTP sai: 000000; challenge UUID từ response; Điều chỉnh expires_at về quá khứ bằng fixture/admin test; AI stub hỗ trợ success, timeout, HTTP 500, invalid JSON và oversized response</t>
        </is>
      </c>
      <c r="K8" s="4" t="inlineStr">
        <is>
          <t>1. Chuẩn bị dữ liệu đúng mục 'Điều kiện trước' và ghi lại các ID ban đầu.
2. Mở màn hình/API tương ứng ở trạng thái chưa xác thực, trừ khi kịch bản yêu cầu session có sẵn.
3. Thực hiện kịch bản: OTP sai/hết hạn/đã dùng/sai purpose.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8" s="4" t="inlineStr">
        <is>
          <t>400; mật khẩu không đổi; tối đa 5 lần sai</t>
        </is>
      </c>
      <c r="M8" s="4" t="inlineStr">
        <is>
          <t>Challenge consumed đúng lúc; password/session state nhất quán.</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COM05-06</t>
        </is>
      </c>
      <c r="C9" s="5" t="inlineStr">
        <is>
          <t>UC-COM-05</t>
        </is>
      </c>
      <c r="D9" s="5" t="inlineStr">
        <is>
          <t>Mật khẩu mới yếu, trùng mật khẩu hiện tại hoặc confirm không khớp</t>
        </is>
      </c>
      <c r="E9" s="19" t="inlineStr">
        <is>
          <t>P1</t>
        </is>
      </c>
      <c r="F9" s="5" t="inlineStr">
        <is>
          <t>Functional</t>
        </is>
      </c>
      <c r="G9" s="5" t="inlineStr">
        <is>
          <t>API + UI/E2E</t>
        </is>
      </c>
      <c r="H9" s="5" t="inlineStr">
        <is>
          <t>POST /api/v1/common/auth/forgot-password/
POST /api/v1/common/auth/reset-password/</t>
        </is>
      </c>
      <c r="I9" s="5" t="inlineStr">
        <is>
          <t>Có tài khoản ACTIVE đã verify email; email sandbox hoạt động; tạo nhiều session khi cần.</t>
        </is>
      </c>
      <c r="J9" s="5" t="inlineStr">
        <is>
          <t>identifier=user@example.com; new_password=NewStrongPass!2026
Bổ sung: Chuẩn bị trước một bản ghi có cùng giá trị cần kiểm tra</t>
        </is>
      </c>
      <c r="K9" s="5" t="inlineStr">
        <is>
          <t>1. Chuẩn bị dữ liệu đúng mục 'Điều kiện trước' và ghi lại các ID ban đầu.
2. Mở màn hình/API tương ứng ở trạng thái chưa xác thực, trừ khi kịch bản yêu cầu session có sẵn.
3. Thực hiện kịch bản: Mật khẩu mới yếu, trùng mật khẩu hiện tại hoặc confirm không khớp.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9" s="5" t="inlineStr">
        <is>
          <t>400; challenge/password/session không bị thay đổi sai</t>
        </is>
      </c>
      <c r="M9" s="5" t="inlineStr">
        <is>
          <t>Challenge consumed đúng lúc; password/session state nhất quán.</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COM05-07</t>
        </is>
      </c>
      <c r="C10" s="4" t="inlineStr">
        <is>
          <t>UC-COM-05</t>
        </is>
      </c>
      <c r="D10" s="4" t="inlineStr">
        <is>
          <t>Sau reset, kiểm tra mọi access/refresh cũ trên S1/S2</t>
        </is>
      </c>
      <c r="E10" s="15" t="inlineStr">
        <is>
          <t>P0</t>
        </is>
      </c>
      <c r="F10" s="4" t="inlineStr">
        <is>
          <t>Functional</t>
        </is>
      </c>
      <c r="G10" s="4" t="inlineStr">
        <is>
          <t>API + UI/E2E</t>
        </is>
      </c>
      <c r="H10" s="4" t="inlineStr">
        <is>
          <t>POST /api/v1/common/auth/forgot-password/
POST /api/v1/common/auth/reset-password/</t>
        </is>
      </c>
      <c r="I10" s="4" t="inlineStr">
        <is>
          <t>Có tài khoản ACTIVE đã verify email; email sandbox hoạt động; tạo nhiều session khi cần.</t>
        </is>
      </c>
      <c r="J10" s="4" t="inlineStr">
        <is>
          <t>identifier=user@example.com; new_password=NewStrongPass!2026</t>
        </is>
      </c>
      <c r="K10" s="4" t="inlineStr">
        <is>
          <t>1. Chuẩn bị dữ liệu đúng mục 'Điều kiện trước' và ghi lại các ID ban đầu.
2. Mở màn hình/API tương ứng ở trạng thái chưa xác thực, trừ khi kịch bản yêu cầu session có sẵn.
3. Thực hiện kịch bản: Sau reset, kiểm tra mọi access/refresh cũ trên S1/S2.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10" s="4" t="inlineStr">
        <is>
          <t>Tất cả session/token cũ bị revoke; mật khẩu cũ đăng nhập thất bại</t>
        </is>
      </c>
      <c r="M10" s="4" t="inlineStr">
        <is>
          <t>Challenge consumed đúng lúc; password/session state nhất quán.</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COM05-08</t>
        </is>
      </c>
      <c r="C11" s="5" t="inlineStr">
        <is>
          <t>UC-COM-05</t>
        </is>
      </c>
      <c r="D11" s="5" t="inlineStr">
        <is>
          <t>Đăng nhập bằng mật khẩu mới</t>
        </is>
      </c>
      <c r="E11" s="15" t="inlineStr">
        <is>
          <t>P0</t>
        </is>
      </c>
      <c r="F11" s="5" t="inlineStr">
        <is>
          <t>Functional</t>
        </is>
      </c>
      <c r="G11" s="5" t="inlineStr">
        <is>
          <t>API + UI/E2E</t>
        </is>
      </c>
      <c r="H11" s="5" t="inlineStr">
        <is>
          <t>POST /api/v1/common/auth/forgot-password/
POST /api/v1/common/auth/reset-password/</t>
        </is>
      </c>
      <c r="I11" s="5" t="inlineStr">
        <is>
          <t>Có tài khoản ACTIVE đã verify email; email sandbox hoạt động; tạo nhiều session khi cần.</t>
        </is>
      </c>
      <c r="J11" s="5" t="inlineStr">
        <is>
          <t>identifier=user@example.com; new_password=NewStrongPass!2026</t>
        </is>
      </c>
      <c r="K11" s="5" t="inlineStr">
        <is>
          <t>1. Chuẩn bị dữ liệu đúng mục 'Điều kiện trước' và ghi lại các ID ban đầu.
2. Mở màn hình/API tương ứng ở trạng thái chưa xác thực, trừ khi kịch bản yêu cầu session có sẵn.
3. Thực hiện kịch bản: Đăng nhập bằng mật khẩu mới.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11" s="5" t="inlineStr">
        <is>
          <t>Thành công và tạo session mới</t>
        </is>
      </c>
      <c r="M11" s="5" t="inlineStr">
        <is>
          <t>Challenge consumed đúng lúc; password/session state nhất quán.</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COM05-09</t>
        </is>
      </c>
      <c r="C12" s="4" t="inlineStr">
        <is>
          <t>UC-COM-05</t>
        </is>
      </c>
      <c r="D12" s="4" t="inlineStr">
        <is>
          <t>Email thông báo sau reset</t>
        </is>
      </c>
      <c r="E12" s="19" t="inlineStr">
        <is>
          <t>P1</t>
        </is>
      </c>
      <c r="F12" s="4" t="inlineStr">
        <is>
          <t>Functional</t>
        </is>
      </c>
      <c r="G12" s="4" t="inlineStr">
        <is>
          <t>API + UI/E2E</t>
        </is>
      </c>
      <c r="H12" s="4" t="inlineStr">
        <is>
          <t>POST /api/v1/common/auth/forgot-password/
POST /api/v1/common/auth/reset-password/</t>
        </is>
      </c>
      <c r="I12" s="4" t="inlineStr">
        <is>
          <t>Có tài khoản ACTIVE đã verify email; email sandbox hoạt động; tạo nhiều session khi cần.</t>
        </is>
      </c>
      <c r="J12" s="4" t="inlineStr">
        <is>
          <t>identifier=user@example.com; new_password=NewStrongPass!2026
Bổ sung: AI stub hỗ trợ success, timeout, HTTP 500, invalid JSON và oversized response</t>
        </is>
      </c>
      <c r="K12" s="4" t="inlineStr">
        <is>
          <t>1. Chuẩn bị dữ liệu đúng mục 'Điều kiện trước' và ghi lại các ID ban đầu.
2. Mở màn hình/API tương ứng ở trạng thái chưa xác thực, trừ khi kịch bản yêu cầu session có sẵn.
3. Thực hiện kịch bản: Email thông báo sau reset.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12" s="4" t="inlineStr">
        <is>
          <t>Gửi tới email tài khoản; lỗi gửi mail không rollback đổi password nhưng có security event</t>
        </is>
      </c>
      <c r="M12" s="4" t="inlineStr">
        <is>
          <t>Challenge consumed đúng lúc; password/session state nhất quán.</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COM05-10</t>
        </is>
      </c>
      <c r="C13" s="5" t="inlineStr">
        <is>
          <t>UC-COM-05</t>
        </is>
      </c>
      <c r="D13" s="5" t="inlineStr">
        <is>
          <t>Vượt rate limit reset theo identifier/IP</t>
        </is>
      </c>
      <c r="E13" s="15" t="inlineStr">
        <is>
          <t>P0</t>
        </is>
      </c>
      <c r="F13" s="5" t="inlineStr">
        <is>
          <t>Security/Authorization</t>
        </is>
      </c>
      <c r="G13" s="5" t="inlineStr">
        <is>
          <t>API + Integration</t>
        </is>
      </c>
      <c r="H13" s="5" t="inlineStr">
        <is>
          <t>POST /api/v1/common/auth/forgot-password/
POST /api/v1/common/auth/reset-password/</t>
        </is>
      </c>
      <c r="I13" s="5" t="inlineStr">
        <is>
          <t>Có tài khoản ACTIVE đã verify email; email sandbox hoạt động; tạo nhiều session khi cần.</t>
        </is>
      </c>
      <c r="J13" s="5" t="inlineStr">
        <is>
          <t>identifier=user@example.com; new_password=NewStrongPass!2026
Bổ sung: Gửi request liên tiếp vượt ngưỡng cấu hình từ cùng identifier/IP</t>
        </is>
      </c>
      <c r="K13" s="5" t="inlineStr">
        <is>
          <t>1. Chuẩn bị dữ liệu đúng mục 'Điều kiện trước' và ghi lại các ID ban đầu.
2. Mở màn hình/API tương ứng ở trạng thái chưa xác thực, trừ khi kịch bản yêu cầu session có sẵn.
3. Thực hiện kịch bản: Vượt rate limit reset theo identifier/IP.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13" s="5" t="inlineStr">
        <is>
          <t>429; không gửi email hàng loạt</t>
        </is>
      </c>
      <c r="M13" s="5" t="inlineStr">
        <is>
          <t>Challenge consumed đúng lúc; password/session state nhất quán.</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COM05-11</t>
        </is>
      </c>
      <c r="C14" s="4" t="inlineStr">
        <is>
          <t>UC-COM-05</t>
        </is>
      </c>
      <c r="D14" s="4" t="inlineStr">
        <is>
          <t>Alias endpoint cũ và mới</t>
        </is>
      </c>
      <c r="E14" s="19" t="inlineStr">
        <is>
          <t>P1</t>
        </is>
      </c>
      <c r="F14" s="4" t="inlineStr">
        <is>
          <t>Functional</t>
        </is>
      </c>
      <c r="G14" s="4" t="inlineStr">
        <is>
          <t>API + UI/E2E</t>
        </is>
      </c>
      <c r="H14" s="4" t="inlineStr">
        <is>
          <t>POST /api/v1/common/auth/forgot-password/
POST /api/v1/common/auth/reset-password/</t>
        </is>
      </c>
      <c r="I14" s="4" t="inlineStr">
        <is>
          <t>Có tài khoản ACTIVE đã verify email; email sandbox hoạt động; tạo nhiều session khi cần.</t>
        </is>
      </c>
      <c r="J14" s="4" t="inlineStr">
        <is>
          <t>identifier=user@example.com; new_password=NewStrongPass!2026</t>
        </is>
      </c>
      <c r="K14" s="4" t="inlineStr">
        <is>
          <t>1. Chuẩn bị dữ liệu đúng mục 'Điều kiện trước' và ghi lại các ID ban đầu.
2. Mở màn hình/API tương ứng ở trạng thái chưa xác thực, trừ khi kịch bản yêu cầu session có sẵn.
3. Thực hiện kịch bản: Alias endpoint cũ và mới.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14" s="4" t="inlineStr">
        <is>
          <t>Hai cặp route có hành vi/schema tương thích</t>
        </is>
      </c>
      <c r="M14" s="4" t="inlineStr">
        <is>
          <t>Challenge consumed đúng lúc; password/session state nhất quán.</t>
        </is>
      </c>
      <c r="N14" s="4" t="inlineStr"/>
      <c r="O14" s="16" t="inlineStr">
        <is>
          <t>Not Run</t>
        </is>
      </c>
      <c r="P14" s="4" t="inlineStr"/>
      <c r="Q14" s="4" t="inlineStr"/>
      <c r="R14" s="4" t="inlineStr"/>
      <c r="S14" s="4" t="inlineStr"/>
      <c r="T14" s="4" t="inlineStr"/>
      <c r="U14" s="4" t="inlineStr">
        <is>
          <t>Candidate</t>
        </is>
      </c>
      <c r="V14" s="4" t="inlineStr"/>
    </row>
  </sheetData>
  <autoFilter ref="A3:V14"/>
  <mergeCells count="2">
    <mergeCell ref="A2:V2"/>
    <mergeCell ref="A1:V1"/>
  </mergeCells>
  <conditionalFormatting sqref="O4:O14">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4" showDropDown="0" showInputMessage="0" showErrorMessage="0" allowBlank="1" type="list">
      <formula1>"Not Run,Pass,Fail,Blocked,N/A"</formula1>
    </dataValidation>
    <dataValidation sqref="P4:P14" showDropDown="0" showInputMessage="0" showErrorMessage="0" allowBlank="1" type="list">
      <formula1>"S1 Critical,S2 High,S3 Medium,S4 Low"</formula1>
    </dataValidation>
    <dataValidation sqref="U4:U14" showDropDown="0" showInputMessage="0" showErrorMessage="0" allowBlank="1" type="list">
      <formula1>"Manual,Automated,Candidate,Not Applicable"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12"/>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UC-COM-06 – Đổi mật khẩu</t>
        </is>
      </c>
    </row>
    <row r="2" ht="30" customHeight="1">
      <c r="A2" s="2" t="inlineStr">
        <is>
          <t>Nguồn: COMMON_SERVICES_TEST_PLAN.md | 9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COM06-01</t>
        </is>
      </c>
      <c r="C4" s="4" t="inlineStr">
        <is>
          <t>UC-COM-06</t>
        </is>
      </c>
      <c r="D4" s="4" t="inlineStr">
        <is>
          <t>Current password đúng, new password mạnh, confirm khớp</t>
        </is>
      </c>
      <c r="E4" s="15" t="inlineStr">
        <is>
          <t>P0</t>
        </is>
      </c>
      <c r="F4" s="4" t="inlineStr">
        <is>
          <t>Functional</t>
        </is>
      </c>
      <c r="G4" s="4" t="inlineStr">
        <is>
          <t>API + UI/E2E</t>
        </is>
      </c>
      <c r="H4" s="4" t="inlineStr">
        <is>
          <t>POST /api/v1/common/auth/change-password/</t>
        </is>
      </c>
      <c r="I4" s="4" t="inlineStr">
        <is>
          <t>U3 có JWT hợp lệ; tạo S1/S2 khi cần kiểm tra thu hồi phiên.</t>
        </is>
      </c>
      <c r="J4" s="4" t="inlineStr">
        <is>
          <t>current_password=StrongPass!2026; new_password=ChangedPass!2026</t>
        </is>
      </c>
      <c r="K4" s="4" t="inlineStr">
        <is>
          <t>1. Chuẩn bị dữ liệu đúng mục 'Điều kiện trước' và ghi lại các ID ban đầu.
2. Đăng nhập bằng đúng actor/role và chọn company/branch theo điều kiện trước.
3. Thực hiện kịch bản: Current password đúng, new password mạnh, confirm khớp.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4" s="4" t="inlineStr">
        <is>
          <t>200 changed=true; mật khẩu cập nhật; security/audit event phù hợp</t>
        </is>
      </c>
      <c r="M4" s="4" t="inlineStr">
        <is>
          <t>Password changed_at, session revoke reason và security event chính xác.</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COM06-02</t>
        </is>
      </c>
      <c r="C5" s="5" t="inlineStr">
        <is>
          <t>UC-COM-06</t>
        </is>
      </c>
      <c r="D5" s="5" t="inlineStr">
        <is>
          <t>Current password sai lần 1–4</t>
        </is>
      </c>
      <c r="E5" s="15" t="inlineStr">
        <is>
          <t>P0</t>
        </is>
      </c>
      <c r="F5" s="5" t="inlineStr">
        <is>
          <t>Functional</t>
        </is>
      </c>
      <c r="G5" s="5" t="inlineStr">
        <is>
          <t>API + UI/E2E</t>
        </is>
      </c>
      <c r="H5" s="5" t="inlineStr">
        <is>
          <t>POST /api/v1/common/auth/change-password/</t>
        </is>
      </c>
      <c r="I5" s="5" t="inlineStr">
        <is>
          <t>U3 có JWT hợp lệ; tạo S1/S2 khi cần kiểm tra thu hồi phiên.</t>
        </is>
      </c>
      <c r="J5" s="5" t="inlineStr">
        <is>
          <t>current_password=StrongPass!2026; new_password=ChangedPass!2026
Bổ sung: AI stub hỗ trợ success, timeout, HTTP 500, invalid JSON và oversized response</t>
        </is>
      </c>
      <c r="K5" s="5" t="inlineStr">
        <is>
          <t>1. Chuẩn bị dữ liệu đúng mục 'Điều kiện trước' và ghi lại các ID ban đầu.
2. Đăng nhập bằng đúng actor/role và chọn company/branch theo điều kiện trước.
3. Thực hiện kịch bản: Current password sai lần 1–4.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5" s="5" t="inlineStr">
        <is>
          <t>400; không đổi password; tăng failure của đúng session</t>
        </is>
      </c>
      <c r="M5" s="5" t="inlineStr">
        <is>
          <t>Password changed_at, session revoke reason và security event chính xác.</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COM06-03</t>
        </is>
      </c>
      <c r="C6" s="4" t="inlineStr">
        <is>
          <t>UC-COM-06</t>
        </is>
      </c>
      <c r="D6" s="4" t="inlineStr">
        <is>
          <t>Current password sai lần 5</t>
        </is>
      </c>
      <c r="E6" s="15" t="inlineStr">
        <is>
          <t>P0</t>
        </is>
      </c>
      <c r="F6" s="4" t="inlineStr">
        <is>
          <t>Functional</t>
        </is>
      </c>
      <c r="G6" s="4" t="inlineStr">
        <is>
          <t>API + UI/E2E</t>
        </is>
      </c>
      <c r="H6" s="4" t="inlineStr">
        <is>
          <t>POST /api/v1/common/auth/change-password/</t>
        </is>
      </c>
      <c r="I6" s="4" t="inlineStr">
        <is>
          <t>U3 có JWT hợp lệ; tạo S1/S2 khi cần kiểm tra thu hồi phiên.</t>
        </is>
      </c>
      <c r="J6" s="4" t="inlineStr">
        <is>
          <t>current_password=StrongPass!2026; new_password=ChangedPass!2026
Bổ sung: AI stub hỗ trợ success, timeout, HTTP 500, invalid JSON và oversized response</t>
        </is>
      </c>
      <c r="K6" s="4" t="inlineStr">
        <is>
          <t>1. Chuẩn bị dữ liệu đúng mục 'Điều kiện trước' và ghi lại các ID ban đầu.
2. Đăng nhập bằng đúng actor/role và chọn company/branch theo điều kiện trước.
3. Thực hiện kịch bản: Current password sai lần 5.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6" s="4" t="inlineStr">
        <is>
          <t>Session hiện tại bị revoke; session khác không bị tác động ngoài quy tắc đã duyệt</t>
        </is>
      </c>
      <c r="M6" s="4" t="inlineStr">
        <is>
          <t>Password changed_at, session revoke reason và security event chính xác.</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COM06-04</t>
        </is>
      </c>
      <c r="C7" s="5" t="inlineStr">
        <is>
          <t>UC-COM-06</t>
        </is>
      </c>
      <c r="D7" s="5" t="inlineStr">
        <is>
          <t>New password trùng current</t>
        </is>
      </c>
      <c r="E7" s="19" t="inlineStr">
        <is>
          <t>P1</t>
        </is>
      </c>
      <c r="F7" s="5" t="inlineStr">
        <is>
          <t>Functional</t>
        </is>
      </c>
      <c r="G7" s="5" t="inlineStr">
        <is>
          <t>API + UI/E2E</t>
        </is>
      </c>
      <c r="H7" s="5" t="inlineStr">
        <is>
          <t>POST /api/v1/common/auth/change-password/</t>
        </is>
      </c>
      <c r="I7" s="5" t="inlineStr">
        <is>
          <t>U3 có JWT hợp lệ; tạo S1/S2 khi cần kiểm tra thu hồi phiên.</t>
        </is>
      </c>
      <c r="J7" s="5" t="inlineStr">
        <is>
          <t>current_password=StrongPass!2026; new_password=ChangedPass!2026
Bổ sung: Chuẩn bị trước một bản ghi có cùng giá trị cần kiểm tra</t>
        </is>
      </c>
      <c r="K7" s="5" t="inlineStr">
        <is>
          <t>1. Chuẩn bị dữ liệu đúng mục 'Điều kiện trước' và ghi lại các ID ban đầu.
2. Đăng nhập bằng đúng actor/role và chọn company/branch theo điều kiện trước.
3. Thực hiện kịch bản: New password trùng current.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7" s="5" t="inlineStr">
        <is>
          <t>400; không gửi email success, không revoke session</t>
        </is>
      </c>
      <c r="M7" s="5" t="inlineStr">
        <is>
          <t>Password changed_at, session revoke reason và security event chính xác.</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COM06-05</t>
        </is>
      </c>
      <c r="C8" s="4" t="inlineStr">
        <is>
          <t>UC-COM-06</t>
        </is>
      </c>
      <c r="D8" s="4" t="inlineStr">
        <is>
          <t>New password yếu hoặc confirm sai</t>
        </is>
      </c>
      <c r="E8" s="19" t="inlineStr">
        <is>
          <t>P1</t>
        </is>
      </c>
      <c r="F8" s="4" t="inlineStr">
        <is>
          <t>Functional</t>
        </is>
      </c>
      <c r="G8" s="4" t="inlineStr">
        <is>
          <t>API + UI/E2E</t>
        </is>
      </c>
      <c r="H8" s="4" t="inlineStr">
        <is>
          <t>POST /api/v1/common/auth/change-password/</t>
        </is>
      </c>
      <c r="I8" s="4" t="inlineStr">
        <is>
          <t>U3 có JWT hợp lệ; tạo S1/S2 khi cần kiểm tra thu hồi phiên.</t>
        </is>
      </c>
      <c r="J8" s="4" t="inlineStr">
        <is>
          <t>current_password=StrongPass!2026; new_password=ChangedPass!2026
Bổ sung: AI stub hỗ trợ success, timeout, HTTP 500, invalid JSON và oversized response</t>
        </is>
      </c>
      <c r="K8" s="4" t="inlineStr">
        <is>
          <t>1. Chuẩn bị dữ liệu đúng mục 'Điều kiện trước' và ghi lại các ID ban đầu.
2. Đăng nhập bằng đúng actor/role và chọn company/branch theo điều kiện trước.
3. Thực hiện kịch bản: New password yếu hoặc confirm sai.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8" s="4" t="inlineStr">
        <is>
          <t>400 đúng field; không đổi dữ liệu</t>
        </is>
      </c>
      <c r="M8" s="4" t="inlineStr">
        <is>
          <t>Password changed_at, session revoke reason và security event chính xác.</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COM06-06</t>
        </is>
      </c>
      <c r="C9" s="5" t="inlineStr">
        <is>
          <t>UC-COM-06</t>
        </is>
      </c>
      <c r="D9" s="5" t="inlineStr">
        <is>
          <t>Đổi thành công khi có S1 và S2</t>
        </is>
      </c>
      <c r="E9" s="15" t="inlineStr">
        <is>
          <t>P0</t>
        </is>
      </c>
      <c r="F9" s="5" t="inlineStr">
        <is>
          <t>Functional</t>
        </is>
      </c>
      <c r="G9" s="5" t="inlineStr">
        <is>
          <t>API + UI/E2E</t>
        </is>
      </c>
      <c r="H9" s="5" t="inlineStr">
        <is>
          <t>POST /api/v1/common/auth/change-password/</t>
        </is>
      </c>
      <c r="I9" s="5" t="inlineStr">
        <is>
          <t>U3 có JWT hợp lệ; tạo S1/S2 khi cần kiểm tra thu hồi phiên.</t>
        </is>
      </c>
      <c r="J9" s="5" t="inlineStr">
        <is>
          <t>current_password=StrongPass!2026; new_password=ChangedPass!2026</t>
        </is>
      </c>
      <c r="K9" s="5" t="inlineStr">
        <is>
          <t>1. Chuẩn bị dữ liệu đúng mục 'Điều kiện trước' và ghi lại các ID ban đầu.
2. Đăng nhập bằng đúng actor/role và chọn company/branch theo điều kiện trước.
3. Thực hiện kịch bản: Đổi thành công khi có S1 và S2.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9" s="5" t="inlineStr">
        <is>
          <t>Giữ S1 hiện tại; revoke S2 và mọi session khác với reason PASSWORD_CHANGED</t>
        </is>
      </c>
      <c r="M9" s="5" t="inlineStr">
        <is>
          <t>Password changed_at, session revoke reason và security event chính xác.</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COM06-07</t>
        </is>
      </c>
      <c r="C10" s="4" t="inlineStr">
        <is>
          <t>UC-COM-06</t>
        </is>
      </c>
      <c r="D10" s="4" t="inlineStr">
        <is>
          <t>Dùng mật khẩu cũ/mới sau đổi</t>
        </is>
      </c>
      <c r="E10" s="15" t="inlineStr">
        <is>
          <t>P0</t>
        </is>
      </c>
      <c r="F10" s="4" t="inlineStr">
        <is>
          <t>Functional</t>
        </is>
      </c>
      <c r="G10" s="4" t="inlineStr">
        <is>
          <t>API + UI/E2E</t>
        </is>
      </c>
      <c r="H10" s="4" t="inlineStr">
        <is>
          <t>POST /api/v1/common/auth/change-password/</t>
        </is>
      </c>
      <c r="I10" s="4" t="inlineStr">
        <is>
          <t>U3 có JWT hợp lệ; tạo S1/S2 khi cần kiểm tra thu hồi phiên.</t>
        </is>
      </c>
      <c r="J10" s="4" t="inlineStr">
        <is>
          <t>current_password=StrongPass!2026; new_password=ChangedPass!2026</t>
        </is>
      </c>
      <c r="K10" s="4" t="inlineStr">
        <is>
          <t>1. Chuẩn bị dữ liệu đúng mục 'Điều kiện trước' và ghi lại các ID ban đầu.
2. Đăng nhập bằng đúng actor/role và chọn company/branch theo điều kiện trước.
3. Thực hiện kịch bản: Dùng mật khẩu cũ/mới sau đổi.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10" s="4" t="inlineStr">
        <is>
          <t>Mật khẩu cũ thất bại, mật khẩu mới thành công</t>
        </is>
      </c>
      <c r="M10" s="4" t="inlineStr">
        <is>
          <t>Password changed_at, session revoke reason và security event chính xác.</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COM06-08</t>
        </is>
      </c>
      <c r="C11" s="5" t="inlineStr">
        <is>
          <t>UC-COM-06</t>
        </is>
      </c>
      <c r="D11" s="5" t="inlineStr">
        <is>
          <t>Email thông báo đổi mật khẩu lỗi</t>
        </is>
      </c>
      <c r="E11" s="19" t="inlineStr">
        <is>
          <t>P1</t>
        </is>
      </c>
      <c r="F11" s="5" t="inlineStr">
        <is>
          <t>Functional</t>
        </is>
      </c>
      <c r="G11" s="5" t="inlineStr">
        <is>
          <t>API + UI/E2E</t>
        </is>
      </c>
      <c r="H11" s="5" t="inlineStr">
        <is>
          <t>POST /api/v1/common/auth/change-password/</t>
        </is>
      </c>
      <c r="I11" s="5" t="inlineStr">
        <is>
          <t>U3 có JWT hợp lệ; tạo S1/S2 khi cần kiểm tra thu hồi phiên.</t>
        </is>
      </c>
      <c r="J11" s="5" t="inlineStr">
        <is>
          <t>current_password=StrongPass!2026; new_password=ChangedPass!2026
Bổ sung: AI stub hỗ trợ success, timeout, HTTP 500, invalid JSON và oversized response</t>
        </is>
      </c>
      <c r="K11" s="5" t="inlineStr">
        <is>
          <t>1. Chuẩn bị dữ liệu đúng mục 'Điều kiện trước' và ghi lại các ID ban đầu.
2. Đăng nhập bằng đúng actor/role và chọn company/branch theo điều kiện trước.
3. Thực hiện kịch bản: Email thông báo đổi mật khẩu lỗi.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11" s="5" t="inlineStr">
        <is>
          <t>Đổi mật khẩu vẫn commit; tạo security event cảnh báo</t>
        </is>
      </c>
      <c r="M11" s="5" t="inlineStr">
        <is>
          <t>Password changed_at, session revoke reason và security event chính xác.</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COM06-09</t>
        </is>
      </c>
      <c r="C12" s="4" t="inlineStr">
        <is>
          <t>UC-COM-06</t>
        </is>
      </c>
      <c r="D12" s="4" t="inlineStr">
        <is>
          <t>User inactive hoặc không có JWT hợp lệ</t>
        </is>
      </c>
      <c r="E12" s="15" t="inlineStr">
        <is>
          <t>P0</t>
        </is>
      </c>
      <c r="F12" s="4" t="inlineStr">
        <is>
          <t>Functional</t>
        </is>
      </c>
      <c r="G12" s="4" t="inlineStr">
        <is>
          <t>API + UI/E2E</t>
        </is>
      </c>
      <c r="H12" s="4" t="inlineStr">
        <is>
          <t>POST /api/v1/common/auth/change-password/</t>
        </is>
      </c>
      <c r="I12" s="4" t="inlineStr">
        <is>
          <t>U3 có JWT hợp lệ; tạo S1/S2 khi cần kiểm tra thu hồi phiên.</t>
        </is>
      </c>
      <c r="J12" s="4" t="inlineStr">
        <is>
          <t>current_password=StrongPass!2026; new_password=ChangedPass!2026</t>
        </is>
      </c>
      <c r="K12" s="4" t="inlineStr">
        <is>
          <t>1. Chuẩn bị dữ liệu đúng mục 'Điều kiện trước' và ghi lại các ID ban đầu.
2. Đăng nhập bằng đúng actor/role và chọn company/branch theo điều kiện trước.
3. Thực hiện kịch bản: User inactive hoặc không có JWT hợp lệ.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12" s="4" t="inlineStr">
        <is>
          <t>401/403; không thay đổi mật khẩu</t>
        </is>
      </c>
      <c r="M12" s="4" t="inlineStr">
        <is>
          <t>Password changed_at, session revoke reason và security event chính xác.</t>
        </is>
      </c>
      <c r="N12" s="4" t="inlineStr"/>
      <c r="O12" s="16" t="inlineStr">
        <is>
          <t>Not Run</t>
        </is>
      </c>
      <c r="P12" s="4" t="inlineStr"/>
      <c r="Q12" s="4" t="inlineStr"/>
      <c r="R12" s="4" t="inlineStr"/>
      <c r="S12" s="4" t="inlineStr"/>
      <c r="T12" s="4" t="inlineStr"/>
      <c r="U12" s="4" t="inlineStr">
        <is>
          <t>Candidate</t>
        </is>
      </c>
      <c r="V12" s="4" t="inlineStr"/>
    </row>
  </sheetData>
  <autoFilter ref="A3:V12"/>
  <mergeCells count="2">
    <mergeCell ref="A2:V2"/>
    <mergeCell ref="A1:V1"/>
  </mergeCells>
  <conditionalFormatting sqref="O4:O12">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2" showDropDown="0" showInputMessage="0" showErrorMessage="0" allowBlank="1" type="list">
      <formula1>"Not Run,Pass,Fail,Blocked,N/A"</formula1>
    </dataValidation>
    <dataValidation sqref="P4:P12" showDropDown="0" showInputMessage="0" showErrorMessage="0" allowBlank="1" type="list">
      <formula1>"S1 Critical,S2 High,S3 Medium,S4 Low"</formula1>
    </dataValidation>
    <dataValidation sqref="U4:U12" showDropDown="0" showInputMessage="0" showErrorMessage="0" allowBlank="1" type="list">
      <formula1>"Manual,Automated,Candidate,Not Applicable"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5"/>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UC-COM-07 – Quản lý tài khoản cá nhân</t>
        </is>
      </c>
    </row>
    <row r="2" ht="30" customHeight="1">
      <c r="A2" s="2" t="inlineStr">
        <is>
          <t>Nguồn: COMMON_SERVICES_TEST_PLAN.md | 12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COM07-01</t>
        </is>
      </c>
      <c r="C4" s="4" t="inlineStr">
        <is>
          <t>UC-COM-07</t>
        </is>
      </c>
      <c r="D4" s="4" t="inlineStr">
        <is>
          <t>GET hồ sơ với JWT hợp lệ</t>
        </is>
      </c>
      <c r="E4" s="19" t="inlineStr">
        <is>
          <t>P1</t>
        </is>
      </c>
      <c r="F4" s="4" t="inlineStr">
        <is>
          <t>Functional</t>
        </is>
      </c>
      <c r="G4" s="4" t="inlineStr">
        <is>
          <t>API + UI/E2E</t>
        </is>
      </c>
      <c r="H4" s="4" t="inlineStr">
        <is>
          <t>GET|PATCH /api/v1/common/profile/
POST /api/v1/common/profile/confirm-email/</t>
        </is>
      </c>
      <c r="I4" s="4" t="inlineStr">
        <is>
          <t>U3 đã đăng nhập; có user khác để kiểm tra phone/email trùng; media storage ghi được.</t>
        </is>
      </c>
      <c r="J4" s="4" t="inlineStr">
        <is>
          <t>display_name=Nguyễn Văn QA; phone=0901234567; avatar=valid.png/invalid.jpg</t>
        </is>
      </c>
      <c r="K4" s="4" t="inlineStr">
        <is>
          <t>1. Chuẩn bị dữ liệu đúng mục 'Điều kiện trước' và ghi lại các ID ban đầu.
2. Đăng nhập bằng đúng actor/role và chọn company/branch theo điều kiện trước.
3. Thực hiện kịch bản: GET hồ sơ với JWT hợp lệ.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4" s="4" t="inlineStr">
        <is>
          <t>Trả đúng dữ liệu của user hiện tại; không trả hash/password/token</t>
        </is>
      </c>
      <c r="M4" s="4" t="inlineStr">
        <is>
          <t>Profile/preference/media/audit nhất quán và không lộ dữ liệu nhạy cảm.</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COM07-02</t>
        </is>
      </c>
      <c r="C5" s="5" t="inlineStr">
        <is>
          <t>UC-COM-07</t>
        </is>
      </c>
      <c r="D5" s="5" t="inlineStr">
        <is>
          <t>PATCH display_name, phone, first_name, last_name hợp lệ</t>
        </is>
      </c>
      <c r="E5" s="19" t="inlineStr">
        <is>
          <t>P1</t>
        </is>
      </c>
      <c r="F5" s="5" t="inlineStr">
        <is>
          <t>Functional</t>
        </is>
      </c>
      <c r="G5" s="5" t="inlineStr">
        <is>
          <t>API + UI/E2E</t>
        </is>
      </c>
      <c r="H5" s="5" t="inlineStr">
        <is>
          <t>GET|PATCH /api/v1/common/profile/
POST /api/v1/common/profile/confirm-email/</t>
        </is>
      </c>
      <c r="I5" s="5" t="inlineStr">
        <is>
          <t>U3 đã đăng nhập; có user khác để kiểm tra phone/email trùng; media storage ghi được.</t>
        </is>
      </c>
      <c r="J5" s="5" t="inlineStr">
        <is>
          <t>display_name=Nguyễn Văn QA; phone=0901234567; avatar=valid.png/invalid.jpg</t>
        </is>
      </c>
      <c r="K5" s="5" t="inlineStr">
        <is>
          <t>1. Chuẩn bị dữ liệu đúng mục 'Điều kiện trước' và ghi lại các ID ban đầu.
2. Đăng nhập bằng đúng actor/role và chọn company/branch theo điều kiện trước.
3. Thực hiện kịch bản: PATCH display_name, phone, first_name, last_name hợp lệ.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5" s="5" t="inlineStr">
        <is>
          <t>200; chuẩn hóa display name; DB và response đồng nhất; ghi audit cho các membership</t>
        </is>
      </c>
      <c r="M5" s="5" t="inlineStr">
        <is>
          <t>Profile/preference/media/audit nhất quán và không lộ dữ liệu nhạy cảm.</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COM07-03</t>
        </is>
      </c>
      <c r="C6" s="4" t="inlineStr">
        <is>
          <t>UC-COM-07</t>
        </is>
      </c>
      <c r="D6" s="4" t="inlineStr">
        <is>
          <t>Cố sửa email/username/status/id qua PATCH</t>
        </is>
      </c>
      <c r="E6" s="15" t="inlineStr">
        <is>
          <t>P0</t>
        </is>
      </c>
      <c r="F6" s="4" t="inlineStr">
        <is>
          <t>Functional</t>
        </is>
      </c>
      <c r="G6" s="4" t="inlineStr">
        <is>
          <t>API + UI/E2E</t>
        </is>
      </c>
      <c r="H6" s="4" t="inlineStr">
        <is>
          <t>GET|PATCH /api/v1/common/profile/
POST /api/v1/common/profile/confirm-email/</t>
        </is>
      </c>
      <c r="I6" s="4" t="inlineStr">
        <is>
          <t>U3 đã đăng nhập; có user khác để kiểm tra phone/email trùng; media storage ghi được.</t>
        </is>
      </c>
      <c r="J6" s="4" t="inlineStr">
        <is>
          <t>display_name=Nguyễn Văn QA; phone=0901234567; avatar=valid.png/invalid.jpg
Bổ sung: AI stub hỗ trợ success, timeout, HTTP 500, invalid JSON và oversized response</t>
        </is>
      </c>
      <c r="K6" s="4" t="inlineStr">
        <is>
          <t>1. Chuẩn bị dữ liệu đúng mục 'Điều kiện trước' và ghi lại các ID ban đầu.
2. Đăng nhập bằng đúng actor/role và chọn company/branch theo điều kiện trước.
3. Thực hiện kịch bản: Cố sửa email/username/status/id qua PATCH.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6" s="4" t="inlineStr">
        <is>
          <t>400 hoặc bỏ qua an toàn theo hợp đồng; không thay đổi field read-only</t>
        </is>
      </c>
      <c r="M6" s="4" t="inlineStr">
        <is>
          <t>Profile/preference/media/audit nhất quán và không lộ dữ liệu nhạy cảm.</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COM07-04</t>
        </is>
      </c>
      <c r="C7" s="5" t="inlineStr">
        <is>
          <t>UC-COM-07</t>
        </is>
      </c>
      <c r="D7" s="5" t="inlineStr">
        <is>
          <t>Phone sai định dạng hoặc trùng user khác</t>
        </is>
      </c>
      <c r="E7" s="19" t="inlineStr">
        <is>
          <t>P1</t>
        </is>
      </c>
      <c r="F7" s="5" t="inlineStr">
        <is>
          <t>Security/Authorization</t>
        </is>
      </c>
      <c r="G7" s="5" t="inlineStr">
        <is>
          <t>API + Integration</t>
        </is>
      </c>
      <c r="H7" s="5" t="inlineStr">
        <is>
          <t>GET|PATCH /api/v1/common/profile/
POST /api/v1/common/profile/confirm-email/</t>
        </is>
      </c>
      <c r="I7" s="5" t="inlineStr">
        <is>
          <t>U3 đã đăng nhập; có user khác để kiểm tra phone/email trùng; media storage ghi được.</t>
        </is>
      </c>
      <c r="J7" s="5" t="inlineStr">
        <is>
          <t>display_name=Nguyễn Văn QA; phone=0901234567; avatar=valid.png/invalid.jpg
Bổ sung: Chuẩn bị trước một bản ghi có cùng giá trị cần kiểm tra; AI stub hỗ trợ success, timeout, HTTP 500, invalid JSON và oversized response</t>
        </is>
      </c>
      <c r="K7" s="5" t="inlineStr">
        <is>
          <t>1. Chuẩn bị dữ liệu đúng mục 'Điều kiện trước' và ghi lại các ID ban đầu.
2. Đăng nhập bằng đúng actor/role và chọn company/branch theo điều kiện trước.
3. Thực hiện kịch bản: Phone sai định dạng hoặc trùng user khác.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7" s="5" t="inlineStr">
        <is>
          <t>400; không cập nhật một phần</t>
        </is>
      </c>
      <c r="M7" s="5" t="inlineStr">
        <is>
          <t>Profile/preference/media/audit nhất quán và không lộ dữ liệu nhạy cảm.</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COM07-05</t>
        </is>
      </c>
      <c r="C8" s="4" t="inlineStr">
        <is>
          <t>UC-COM-07</t>
        </is>
      </c>
      <c r="D8" s="4" t="inlineStr">
        <is>
          <t>PATCH body không có field cho phép</t>
        </is>
      </c>
      <c r="E8" s="19" t="inlineStr">
        <is>
          <t>P1</t>
        </is>
      </c>
      <c r="F8" s="4" t="inlineStr">
        <is>
          <t>Functional</t>
        </is>
      </c>
      <c r="G8" s="4" t="inlineStr">
        <is>
          <t>API + UI/E2E</t>
        </is>
      </c>
      <c r="H8" s="4" t="inlineStr">
        <is>
          <t>GET|PATCH /api/v1/common/profile/
POST /api/v1/common/profile/confirm-email/</t>
        </is>
      </c>
      <c r="I8" s="4" t="inlineStr">
        <is>
          <t>U3 đã đăng nhập; có user khác để kiểm tra phone/email trùng; media storage ghi được.</t>
        </is>
      </c>
      <c r="J8" s="4" t="inlineStr">
        <is>
          <t>display_name=Nguyễn Văn QA; phone=0901234567; avatar=valid.png/invalid.jpg</t>
        </is>
      </c>
      <c r="K8" s="4" t="inlineStr">
        <is>
          <t>1. Chuẩn bị dữ liệu đúng mục 'Điều kiện trước' và ghi lại các ID ban đầu.
2. Đăng nhập bằng đúng actor/role và chọn company/branch theo điều kiện trước.
3. Thực hiện kịch bản: PATCH body không có field cho phép.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8" s="4" t="inlineStr">
        <is>
          <t>400 Không có thông tin hồ sơ nào được thay đổi</t>
        </is>
      </c>
      <c r="M8" s="4" t="inlineStr">
        <is>
          <t>Profile/preference/media/audit nhất quán và không lộ dữ liệu nhạy cảm.</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COM07-06</t>
        </is>
      </c>
      <c r="C9" s="5" t="inlineStr">
        <is>
          <t>UC-COM-07</t>
        </is>
      </c>
      <c r="D9" s="5" t="inlineStr">
        <is>
          <t>Upload JPEG/PNG thật &lt;= 5 MB</t>
        </is>
      </c>
      <c r="E9" s="19" t="inlineStr">
        <is>
          <t>P1</t>
        </is>
      </c>
      <c r="F9" s="5" t="inlineStr">
        <is>
          <t>Functional</t>
        </is>
      </c>
      <c r="G9" s="5" t="inlineStr">
        <is>
          <t>API + UI/E2E</t>
        </is>
      </c>
      <c r="H9" s="5" t="inlineStr">
        <is>
          <t>GET|PATCH /api/v1/common/profile/
POST /api/v1/common/profile/confirm-email/</t>
        </is>
      </c>
      <c r="I9" s="5" t="inlineStr">
        <is>
          <t>U3 đã đăng nhập; có user khác để kiểm tra phone/email trùng; media storage ghi được.</t>
        </is>
      </c>
      <c r="J9" s="5" t="inlineStr">
        <is>
          <t>display_name=Nguyễn Văn QA; phone=0901234567; avatar=valid.png/invalid.jpg</t>
        </is>
      </c>
      <c r="K9" s="5" t="inlineStr">
        <is>
          <t>1. Chuẩn bị dữ liệu đúng mục 'Điều kiện trước' và ghi lại các ID ban đầu.
2. Đăng nhập bằng đúng actor/role và chọn company/branch theo điều kiện trước.
3. Thực hiện kịch bản: Upload JPEG/PNG thật &lt;= 5 MB.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9" s="5" t="inlineStr">
        <is>
          <t>Lưu avatar; trả URL hợp lệ và truy cập đúng quyền/cấu hình media</t>
        </is>
      </c>
      <c r="M9" s="5" t="inlineStr">
        <is>
          <t>Profile/preference/media/audit nhất quán và không lộ dữ liệu nhạy cảm.</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COM07-07</t>
        </is>
      </c>
      <c r="C10" s="4" t="inlineStr">
        <is>
          <t>UC-COM-07</t>
        </is>
      </c>
      <c r="D10" s="4" t="inlineStr">
        <is>
          <t>File giả mạo extension, sai magic bytes hoặc &gt; 5 MB</t>
        </is>
      </c>
      <c r="E10" s="15" t="inlineStr">
        <is>
          <t>P0</t>
        </is>
      </c>
      <c r="F10" s="4" t="inlineStr">
        <is>
          <t>Functional</t>
        </is>
      </c>
      <c r="G10" s="4" t="inlineStr">
        <is>
          <t>API + UI/E2E</t>
        </is>
      </c>
      <c r="H10" s="4" t="inlineStr">
        <is>
          <t>GET|PATCH /api/v1/common/profile/
POST /api/v1/common/profile/confirm-email/</t>
        </is>
      </c>
      <c r="I10" s="4" t="inlineStr">
        <is>
          <t>U3 đã đăng nhập; có user khác để kiểm tra phone/email trùng; media storage ghi được.</t>
        </is>
      </c>
      <c r="J10" s="4" t="inlineStr">
        <is>
          <t>display_name=Nguyễn Văn QA; phone=0901234567; avatar=valid.png/invalid.jpg
Bổ sung: valid.png; valid.jpg; fake.jpg chứa text; oversized.png &gt; 5 MB; AI stub hỗ trợ success, timeout, HTTP 500, invalid JSON và oversized response</t>
        </is>
      </c>
      <c r="K10" s="4" t="inlineStr">
        <is>
          <t>1. Chuẩn bị dữ liệu đúng mục 'Điều kiện trước' và ghi lại các ID ban đầu.
2. Đăng nhập bằng đúng actor/role và chọn company/branch theo điều kiện trước.
3. Thực hiện kịch bản: File giả mạo extension, sai magic bytes hoặc &gt; 5 MB.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10" s="4" t="inlineStr">
        <is>
          <t>400; không lưu file; không thực thi nội dung</t>
        </is>
      </c>
      <c r="M10" s="4" t="inlineStr">
        <is>
          <t>Profile/preference/media/audit nhất quán và không lộ dữ liệu nhạy cảm.</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COM07-08</t>
        </is>
      </c>
      <c r="C11" s="5" t="inlineStr">
        <is>
          <t>UC-COM-07</t>
        </is>
      </c>
      <c r="D11" s="5" t="inlineStr">
        <is>
          <t>remove_avatar=true</t>
        </is>
      </c>
      <c r="E11" s="19" t="inlineStr">
        <is>
          <t>P1</t>
        </is>
      </c>
      <c r="F11" s="5" t="inlineStr">
        <is>
          <t>UI/Validation</t>
        </is>
      </c>
      <c r="G11" s="5" t="inlineStr">
        <is>
          <t>UI + API</t>
        </is>
      </c>
      <c r="H11" s="5" t="inlineStr">
        <is>
          <t>GET|PATCH /api/v1/common/profile/
POST /api/v1/common/profile/confirm-email/</t>
        </is>
      </c>
      <c r="I11" s="5" t="inlineStr">
        <is>
          <t>U3 đã đăng nhập; có user khác để kiểm tra phone/email trùng; media storage ghi được.</t>
        </is>
      </c>
      <c r="J11" s="5" t="inlineStr">
        <is>
          <t>display_name=Nguyễn Văn QA; phone=0901234567; avatar=valid.png/invalid.jpg
Bổ sung: valid.png; valid.jpg; fake.jpg chứa text; oversized.png &gt; 5 MB</t>
        </is>
      </c>
      <c r="K11" s="5" t="inlineStr">
        <is>
          <t>1. Chuẩn bị dữ liệu đúng mục 'Điều kiện trước' và ghi lại các ID ban đầu.
2. Đăng nhập bằng đúng actor/role và chọn company/branch theo điều kiện trước.
3. Thực hiện kịch bản: remove_avatar=true.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11" s="5" t="inlineStr">
        <is>
          <t>Gỡ liên kết avatar; response avatar_url=null; xử lý file vật lý theo chính sách</t>
        </is>
      </c>
      <c r="M11" s="5" t="inlineStr">
        <is>
          <t>Profile/preference/media/audit nhất quán và không lộ dữ liệu nhạy cảm.</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COM07-09</t>
        </is>
      </c>
      <c r="C12" s="4" t="inlineStr">
        <is>
          <t>UC-COM-07</t>
        </is>
      </c>
      <c r="D12" s="4" t="inlineStr">
        <is>
          <t>Optimistic locking với version cũ</t>
        </is>
      </c>
      <c r="E12" s="19" t="inlineStr">
        <is>
          <t>P1</t>
        </is>
      </c>
      <c r="F12" s="4" t="inlineStr">
        <is>
          <t>Functional</t>
        </is>
      </c>
      <c r="G12" s="4" t="inlineStr">
        <is>
          <t>API + UI/E2E</t>
        </is>
      </c>
      <c r="H12" s="4" t="inlineStr">
        <is>
          <t>GET|PATCH /api/v1/common/profile/
POST /api/v1/common/profile/confirm-email/</t>
        </is>
      </c>
      <c r="I12" s="4" t="inlineStr">
        <is>
          <t>U3 đã đăng nhập; có user khác để kiểm tra phone/email trùng; media storage ghi được.</t>
        </is>
      </c>
      <c r="J12" s="4" t="inlineStr">
        <is>
          <t>display_name=Nguyễn Văn QA; phone=0901234567; avatar=valid.png/invalid.jpg</t>
        </is>
      </c>
      <c r="K12" s="4" t="inlineStr">
        <is>
          <t>1. Chuẩn bị dữ liệu đúng mục 'Điều kiện trước' và ghi lại các ID ban đầu.
2. Đăng nhập bằng đúng actor/role và chọn company/branch theo điều kiện trước.
3. Thực hiện kịch bản: Optimistic locking với version cũ.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12" s="4" t="inlineStr">
        <is>
          <t>400; không ghi đè thay đổi từ phiên khác</t>
        </is>
      </c>
      <c r="M12" s="4" t="inlineStr">
        <is>
          <t>Profile/preference/media/audit nhất quán và không lộ dữ liệu nhạy cảm.</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COM07-10</t>
        </is>
      </c>
      <c r="C13" s="5" t="inlineStr">
        <is>
          <t>UC-COM-07</t>
        </is>
      </c>
      <c r="D13" s="5" t="inlineStr">
        <is>
          <t>Hai PATCH đồng thời với cùng version</t>
        </is>
      </c>
      <c r="E13" s="19" t="inlineStr">
        <is>
          <t>P1</t>
        </is>
      </c>
      <c r="F13" s="5" t="inlineStr">
        <is>
          <t>Concurrency/Idempotency</t>
        </is>
      </c>
      <c r="G13" s="5" t="inlineStr">
        <is>
          <t>Integration</t>
        </is>
      </c>
      <c r="H13" s="5" t="inlineStr">
        <is>
          <t>GET|PATCH /api/v1/common/profile/
POST /api/v1/common/profile/confirm-email/</t>
        </is>
      </c>
      <c r="I13" s="5" t="inlineStr">
        <is>
          <t>U3 đã đăng nhập; có user khác để kiểm tra phone/email trùng; media storage ghi được.</t>
        </is>
      </c>
      <c r="J13" s="5" t="inlineStr">
        <is>
          <t>display_name=Nguyễn Văn QA; phone=0901234567; avatar=valid.png/invalid.jpg
Bổ sung: Dùng hai client/worker gửi request cùng thời điểm; AI stub hỗ trợ success, timeout, HTTP 500, invalid JSON và oversized response</t>
        </is>
      </c>
      <c r="K13" s="5" t="inlineStr">
        <is>
          <t>1. Chuẩn bị dữ liệu đúng mục 'Điều kiện trước' và ghi lại các ID ban đầu.
2. Đăng nhập bằng đúng actor/role và chọn company/branch theo điều kiện trước.
3. Thực hiện kịch bản: Hai PATCH đồng thời với cùng version.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13" s="5" t="inlineStr">
        <is>
          <t>Chỉ một cập nhật thắng; request còn lại nhận conflict/validation</t>
        </is>
      </c>
      <c r="M13" s="5" t="inlineStr">
        <is>
          <t>Profile/preference/media/audit nhất quán và không lộ dữ liệu nhạy cảm.</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COM07-11</t>
        </is>
      </c>
      <c r="C14" s="4" t="inlineStr">
        <is>
          <t>UC-COM-07</t>
        </is>
      </c>
      <c r="D14" s="4" t="inlineStr">
        <is>
          <t>Confirm email challenge của user khác/sai/hết hạn</t>
        </is>
      </c>
      <c r="E14" s="15" t="inlineStr">
        <is>
          <t>P0</t>
        </is>
      </c>
      <c r="F14" s="4" t="inlineStr">
        <is>
          <t>Security/Authorization</t>
        </is>
      </c>
      <c r="G14" s="4" t="inlineStr">
        <is>
          <t>API + Integration</t>
        </is>
      </c>
      <c r="H14" s="4" t="inlineStr">
        <is>
          <t>GET|PATCH /api/v1/common/profile/
POST /api/v1/common/profile/confirm-email/</t>
        </is>
      </c>
      <c r="I14" s="4" t="inlineStr">
        <is>
          <t>U3 đã đăng nhập; có user khác để kiểm tra phone/email trùng; media storage ghi được.</t>
        </is>
      </c>
      <c r="J14" s="4" t="inlineStr">
        <is>
          <t>display_name=Nguyễn Văn QA; phone=0901234567; avatar=valid.png/invalid.jpg
Bổ sung: Điều chỉnh expires_at về quá khứ bằng fixture/admin test; AI stub hỗ trợ success, timeout, HTTP 500, invalid JSON và oversized response</t>
        </is>
      </c>
      <c r="K14" s="4" t="inlineStr">
        <is>
          <t>1. Chuẩn bị dữ liệu đúng mục 'Điều kiện trước' và ghi lại các ID ban đầu.
2. Đăng nhập bằng đúng actor/role và chọn company/branch theo điều kiện trước.
3. Thực hiện kịch bản: Confirm email challenge của user khác/sai/hết hạn.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14" s="4" t="inlineStr">
        <is>
          <t>400/403; email không đổi</t>
        </is>
      </c>
      <c r="M14" s="4" t="inlineStr">
        <is>
          <t>Profile/preference/media/audit nhất quán và không lộ dữ liệu nhạy cảm.</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COM07-12</t>
        </is>
      </c>
      <c r="C15" s="5" t="inlineStr">
        <is>
          <t>UC-COM-07</t>
        </is>
      </c>
      <c r="D15" s="5" t="inlineStr">
        <is>
          <t>Confirm đổi email hợp lệ</t>
        </is>
      </c>
      <c r="E15" s="19" t="inlineStr">
        <is>
          <t>P1</t>
        </is>
      </c>
      <c r="F15" s="5" t="inlineStr">
        <is>
          <t>Functional</t>
        </is>
      </c>
      <c r="G15" s="5" t="inlineStr">
        <is>
          <t>API + UI/E2E</t>
        </is>
      </c>
      <c r="H15" s="5" t="inlineStr">
        <is>
          <t>GET|PATCH /api/v1/common/profile/
POST /api/v1/common/profile/confirm-email/</t>
        </is>
      </c>
      <c r="I15" s="5" t="inlineStr">
        <is>
          <t>U3 đã đăng nhập; có user khác để kiểm tra phone/email trùng; media storage ghi được.</t>
        </is>
      </c>
      <c r="J15" s="5" t="inlineStr">
        <is>
          <t>display_name=Nguyễn Văn QA; phone=0901234567; avatar=valid.png/invalid.jpg
Bổ sung: AI stub hỗ trợ success, timeout, HTTP 500, invalid JSON và oversized response</t>
        </is>
      </c>
      <c r="K15" s="5" t="inlineStr">
        <is>
          <t>1. Chuẩn bị dữ liệu đúng mục 'Điều kiện trước' và ghi lại các ID ban đầu.
2. Đăng nhập bằng đúng actor/role và chọn company/branch theo điều kiện trước.
3. Thực hiện kịch bản: Confirm đổi email hợp lệ.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15" s="5" t="inlineStr">
        <is>
          <t>Email và normalized_email cập nhật nguyên tử; email trùng bị từ chối</t>
        </is>
      </c>
      <c r="M15" s="5" t="inlineStr">
        <is>
          <t>Profile/preference/media/audit nhất quán và không lộ dữ liệu nhạy cảm.</t>
        </is>
      </c>
      <c r="N15" s="5" t="inlineStr"/>
      <c r="O15" s="18" t="inlineStr">
        <is>
          <t>Not Run</t>
        </is>
      </c>
      <c r="P15" s="5" t="inlineStr"/>
      <c r="Q15" s="5" t="inlineStr"/>
      <c r="R15" s="5" t="inlineStr"/>
      <c r="S15" s="5" t="inlineStr"/>
      <c r="T15" s="5" t="inlineStr"/>
      <c r="U15" s="5" t="inlineStr">
        <is>
          <t>Candidate</t>
        </is>
      </c>
      <c r="V15" s="5" t="inlineStr"/>
    </row>
  </sheetData>
  <autoFilter ref="A3:V15"/>
  <mergeCells count="2">
    <mergeCell ref="A2:V2"/>
    <mergeCell ref="A1:V1"/>
  </mergeCells>
  <conditionalFormatting sqref="O4:O15">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5" showDropDown="0" showInputMessage="0" showErrorMessage="0" allowBlank="1" type="list">
      <formula1>"Not Run,Pass,Fail,Blocked,N/A"</formula1>
    </dataValidation>
    <dataValidation sqref="P4:P15" showDropDown="0" showInputMessage="0" showErrorMessage="0" allowBlank="1" type="list">
      <formula1>"S1 Critical,S2 High,S3 Medium,S4 Low"</formula1>
    </dataValidation>
    <dataValidation sqref="U4:U15" showDropDown="0" showInputMessage="0" showErrorMessage="0" allowBlank="1" type="list">
      <formula1>"Manual,Automated,Candidate,Not Applicable"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14"/>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UC-COM-08 – Chuyển phạm vi làm việc</t>
        </is>
      </c>
    </row>
    <row r="2" ht="30" customHeight="1">
      <c r="A2" s="2" t="inlineStr">
        <is>
          <t>Nguồn: COMMON_SERVICES_TEST_PLAN.md | 11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COM08-01</t>
        </is>
      </c>
      <c r="C4" s="4" t="inlineStr">
        <is>
          <t>UC-COM-08</t>
        </is>
      </c>
      <c r="D4" s="4" t="inlineStr">
        <is>
          <t>GET scopes của user có nhiều membership</t>
        </is>
      </c>
      <c r="E4" s="19" t="inlineStr">
        <is>
          <t>P1</t>
        </is>
      </c>
      <c r="F4" s="4" t="inlineStr">
        <is>
          <t>Security/Authorization</t>
        </is>
      </c>
      <c r="G4" s="4" t="inlineStr">
        <is>
          <t>API + Integration</t>
        </is>
      </c>
      <c r="H4" s="4" t="inlineStr">
        <is>
          <t>GET /api/v1/common/scopes/
GET /api/v1/common/companies/mine/
POST /api/v1/common/companies/switch/</t>
        </is>
      </c>
      <c r="I4" s="4" t="inlineStr">
        <is>
          <t>U3/U4/U5 có membership, role và Data Scope như sheet TEST_DATA.</t>
        </is>
      </c>
      <c r="J4" s="4" t="inlineStr">
        <is>
          <t>U3=all branches; U4=B1 only; U5=C1+C2</t>
        </is>
      </c>
      <c r="K4" s="4" t="inlineStr">
        <is>
          <t>1. Chuẩn bị dữ liệu đúng mục 'Điều kiện trước' và ghi lại các ID ban đầu.
2. Đăng nhập bằng đúng actor/role và chọn company/branch theo điều kiện trước.
3. Thực hiện kịch bản: GET scopes của user có nhiều membership.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4" s="4" t="inlineStr">
        <is>
          <t>Chỉ trả company/membership ACTIVE và branch ACTIVE trong Data Scope</t>
        </is>
      </c>
      <c r="M4" s="4" t="inlineStr">
        <is>
          <t>current_company/current_branch/all_branches và audit đúng.</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COM08-02</t>
        </is>
      </c>
      <c r="C5" s="5" t="inlineStr">
        <is>
          <t>UC-COM-08</t>
        </is>
      </c>
      <c r="D5" s="5" t="inlineStr">
        <is>
          <t>User có scope toàn doanh nghiệp chọn all_branches=true</t>
        </is>
      </c>
      <c r="E5" s="15" t="inlineStr">
        <is>
          <t>P0</t>
        </is>
      </c>
      <c r="F5" s="5" t="inlineStr">
        <is>
          <t>Security/Authorization</t>
        </is>
      </c>
      <c r="G5" s="5" t="inlineStr">
        <is>
          <t>API + Integration</t>
        </is>
      </c>
      <c r="H5" s="5" t="inlineStr">
        <is>
          <t>GET /api/v1/common/scopes/
GET /api/v1/common/companies/mine/
POST /api/v1/common/companies/switch/</t>
        </is>
      </c>
      <c r="I5" s="5" t="inlineStr">
        <is>
          <t>U3/U4/U5 có membership, role và Data Scope như sheet TEST_DATA.</t>
        </is>
      </c>
      <c r="J5" s="5" t="inlineStr">
        <is>
          <t>U3=all branches; U4=B1 only; U5=C1+C2</t>
        </is>
      </c>
      <c r="K5" s="5" t="inlineStr">
        <is>
          <t>1. Chuẩn bị dữ liệu đúng mục 'Điều kiện trước' và ghi lại các ID ban đầu.
2. Đăng nhập bằng đúng actor/role và chọn company/branch theo điều kiện trước.
3. Thực hiện kịch bản: User có scope toàn doanh nghiệp chọn all_branches=true.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5" s="5" t="inlineStr">
        <is>
          <t>Cập nhật preference company, branch null, all_branches true; ghi audit</t>
        </is>
      </c>
      <c r="M5" s="5" t="inlineStr">
        <is>
          <t>current_company/current_branch/all_branches và audit đúng.</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COM08-03</t>
        </is>
      </c>
      <c r="C6" s="4" t="inlineStr">
        <is>
          <t>UC-COM-08</t>
        </is>
      </c>
      <c r="D6" s="4" t="inlineStr">
        <is>
          <t>User không có scope toàn doanh nghiệp chọn all branches</t>
        </is>
      </c>
      <c r="E6" s="15" t="inlineStr">
        <is>
          <t>P0</t>
        </is>
      </c>
      <c r="F6" s="4" t="inlineStr">
        <is>
          <t>Security/Authorization</t>
        </is>
      </c>
      <c r="G6" s="4" t="inlineStr">
        <is>
          <t>API + Integration</t>
        </is>
      </c>
      <c r="H6" s="4" t="inlineStr">
        <is>
          <t>GET /api/v1/common/scopes/
GET /api/v1/common/companies/mine/
POST /api/v1/common/companies/switch/</t>
        </is>
      </c>
      <c r="I6" s="4" t="inlineStr">
        <is>
          <t>U3/U4/U5 có membership, role và Data Scope như sheet TEST_DATA.</t>
        </is>
      </c>
      <c r="J6" s="4" t="inlineStr">
        <is>
          <t>U3=all branches; U4=B1 only; U5=C1+C2</t>
        </is>
      </c>
      <c r="K6" s="4" t="inlineStr">
        <is>
          <t>1. Chuẩn bị dữ liệu đúng mục 'Điều kiện trước' và ghi lại các ID ban đầu.
2. Đăng nhập bằng đúng actor/role và chọn company/branch theo điều kiện trước.
3. Thực hiện kịch bản: User không có scope toàn doanh nghiệp chọn all branches.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6" s="4" t="inlineStr">
        <is>
          <t>403; preference cũ giữ nguyên</t>
        </is>
      </c>
      <c r="M6" s="4" t="inlineStr">
        <is>
          <t>current_company/current_branch/all_branches và audit đúng.</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COM08-04</t>
        </is>
      </c>
      <c r="C7" s="5" t="inlineStr">
        <is>
          <t>UC-COM-08</t>
        </is>
      </c>
      <c r="D7" s="5" t="inlineStr">
        <is>
          <t>Chọn branch thuộc company nhưng ngoài Data Scope</t>
        </is>
      </c>
      <c r="E7" s="15" t="inlineStr">
        <is>
          <t>P0</t>
        </is>
      </c>
      <c r="F7" s="5" t="inlineStr">
        <is>
          <t>Security/Authorization</t>
        </is>
      </c>
      <c r="G7" s="5" t="inlineStr">
        <is>
          <t>API + Integration</t>
        </is>
      </c>
      <c r="H7" s="5" t="inlineStr">
        <is>
          <t>GET /api/v1/common/scopes/
GET /api/v1/common/companies/mine/
POST /api/v1/common/companies/switch/</t>
        </is>
      </c>
      <c r="I7" s="5" t="inlineStr">
        <is>
          <t>U3/U4/U5 có membership, role và Data Scope như sheet TEST_DATA.</t>
        </is>
      </c>
      <c r="J7" s="5" t="inlineStr">
        <is>
          <t>U3=all branches; U4=B1 only; U5=C1+C2</t>
        </is>
      </c>
      <c r="K7" s="5" t="inlineStr">
        <is>
          <t>1. Chuẩn bị dữ liệu đúng mục 'Điều kiện trước' và ghi lại các ID ban đầu.
2. Đăng nhập bằng đúng actor/role và chọn company/branch theo điều kiện trước.
3. Thực hiện kịch bản: Chọn branch thuộc company nhưng ngoài Data Scope.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7" s="5" t="inlineStr">
        <is>
          <t>403; không chuyển phạm vi</t>
        </is>
      </c>
      <c r="M7" s="5" t="inlineStr">
        <is>
          <t>current_company/current_branch/all_branches và audit đúng.</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COM08-05</t>
        </is>
      </c>
      <c r="C8" s="4" t="inlineStr">
        <is>
          <t>UC-COM-08</t>
        </is>
      </c>
      <c r="D8" s="4" t="inlineStr">
        <is>
          <t>Chọn branch của C2 khi company=C1</t>
        </is>
      </c>
      <c r="E8" s="15" t="inlineStr">
        <is>
          <t>P0</t>
        </is>
      </c>
      <c r="F8" s="4" t="inlineStr">
        <is>
          <t>Security/Authorization</t>
        </is>
      </c>
      <c r="G8" s="4" t="inlineStr">
        <is>
          <t>API + Integration</t>
        </is>
      </c>
      <c r="H8" s="4" t="inlineStr">
        <is>
          <t>GET /api/v1/common/scopes/
GET /api/v1/common/companies/mine/
POST /api/v1/common/companies/switch/</t>
        </is>
      </c>
      <c r="I8" s="4" t="inlineStr">
        <is>
          <t>U3/U4/U5 có membership, role và Data Scope như sheet TEST_DATA.</t>
        </is>
      </c>
      <c r="J8" s="4" t="inlineStr">
        <is>
          <t>U3=all branches; U4=B1 only; U5=C1+C2
Bổ sung: Dùng UUID hợp lệ nhưng thuộc C2 hoặc branch ngoài Data Scope</t>
        </is>
      </c>
      <c r="K8" s="4" t="inlineStr">
        <is>
          <t>1. Chuẩn bị dữ liệu đúng mục 'Điều kiện trước' và ghi lại các ID ban đầu.
2. Đăng nhập bằng đúng actor/role và chọn company/branch theo điều kiện trước.
3. Thực hiện kịch bản: Chọn branch của C2 khi company=C1.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8" s="4" t="inlineStr">
        <is>
          <t>403/404; không lộ dữ liệu C2</t>
        </is>
      </c>
      <c r="M8" s="4" t="inlineStr">
        <is>
          <t>current_company/current_branch/all_branches và audit đúng.</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COM08-06</t>
        </is>
      </c>
      <c r="C9" s="5" t="inlineStr">
        <is>
          <t>UC-COM-08</t>
        </is>
      </c>
      <c r="D9" s="5" t="inlineStr">
        <is>
          <t>Không truyền branch khi chỉ có một branch được phép</t>
        </is>
      </c>
      <c r="E9" s="19" t="inlineStr">
        <is>
          <t>P1</t>
        </is>
      </c>
      <c r="F9" s="5" t="inlineStr">
        <is>
          <t>Functional</t>
        </is>
      </c>
      <c r="G9" s="5" t="inlineStr">
        <is>
          <t>API + UI/E2E</t>
        </is>
      </c>
      <c r="H9" s="5" t="inlineStr">
        <is>
          <t>GET /api/v1/common/scopes/
GET /api/v1/common/companies/mine/
POST /api/v1/common/companies/switch/</t>
        </is>
      </c>
      <c r="I9" s="5" t="inlineStr">
        <is>
          <t>U3/U4/U5 có membership, role và Data Scope như sheet TEST_DATA.</t>
        </is>
      </c>
      <c r="J9" s="5" t="inlineStr">
        <is>
          <t>U3=all branches; U4=B1 only; U5=C1+C2</t>
        </is>
      </c>
      <c r="K9" s="5" t="inlineStr">
        <is>
          <t>1. Chuẩn bị dữ liệu đúng mục 'Điều kiện trước' và ghi lại các ID ban đầu.
2. Đăng nhập bằng đúng actor/role và chọn company/branch theo điều kiện trước.
3. Thực hiện kịch bản: Không truyền branch khi chỉ có một branch được phép.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9" s="5" t="inlineStr">
        <is>
          <t>Tự chọn branch duy nhất</t>
        </is>
      </c>
      <c r="M9" s="5" t="inlineStr">
        <is>
          <t>current_company/current_branch/all_branches và audit đúng.</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COM08-07</t>
        </is>
      </c>
      <c r="C10" s="4" t="inlineStr">
        <is>
          <t>UC-COM-08</t>
        </is>
      </c>
      <c r="D10" s="4" t="inlineStr">
        <is>
          <t>Không truyền branch/all_branches khi có nhiều branch</t>
        </is>
      </c>
      <c r="E10" s="19" t="inlineStr">
        <is>
          <t>P1</t>
        </is>
      </c>
      <c r="F10" s="4" t="inlineStr">
        <is>
          <t>Functional</t>
        </is>
      </c>
      <c r="G10" s="4" t="inlineStr">
        <is>
          <t>API + UI/E2E</t>
        </is>
      </c>
      <c r="H10" s="4" t="inlineStr">
        <is>
          <t>GET /api/v1/common/scopes/
GET /api/v1/common/companies/mine/
POST /api/v1/common/companies/switch/</t>
        </is>
      </c>
      <c r="I10" s="4" t="inlineStr">
        <is>
          <t>U3/U4/U5 có membership, role và Data Scope như sheet TEST_DATA.</t>
        </is>
      </c>
      <c r="J10" s="4" t="inlineStr">
        <is>
          <t>U3=all branches; U4=B1 only; U5=C1+C2</t>
        </is>
      </c>
      <c r="K10" s="4" t="inlineStr">
        <is>
          <t>1. Chuẩn bị dữ liệu đúng mục 'Điều kiện trước' và ghi lại các ID ban đầu.
2. Đăng nhập bằng đúng actor/role và chọn company/branch theo điều kiện trước.
3. Thực hiện kịch bản: Không truyền branch/all_branches khi có nhiều branch.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10" s="4" t="inlineStr">
        <is>
          <t>400, yêu cầu lựa chọn rõ ràng</t>
        </is>
      </c>
      <c r="M10" s="4" t="inlineStr">
        <is>
          <t>current_company/current_branch/all_branches và audit đúng.</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COM08-08</t>
        </is>
      </c>
      <c r="C11" s="5" t="inlineStr">
        <is>
          <t>UC-COM-08</t>
        </is>
      </c>
      <c r="D11" s="5" t="inlineStr">
        <is>
          <t>Membership/company/branch INACTIVE</t>
        </is>
      </c>
      <c r="E11" s="15" t="inlineStr">
        <is>
          <t>P0</t>
        </is>
      </c>
      <c r="F11" s="5" t="inlineStr">
        <is>
          <t>Functional</t>
        </is>
      </c>
      <c r="G11" s="5" t="inlineStr">
        <is>
          <t>API + UI/E2E</t>
        </is>
      </c>
      <c r="H11" s="5" t="inlineStr">
        <is>
          <t>GET /api/v1/common/scopes/
GET /api/v1/common/companies/mine/
POST /api/v1/common/companies/switch/</t>
        </is>
      </c>
      <c r="I11" s="5" t="inlineStr">
        <is>
          <t>U3/U4/U5 có membership, role và Data Scope như sheet TEST_DATA.</t>
        </is>
      </c>
      <c r="J11" s="5" t="inlineStr">
        <is>
          <t>U3=all branches; U4=B1 only; U5=C1+C2</t>
        </is>
      </c>
      <c r="K11" s="5" t="inlineStr">
        <is>
          <t>1. Chuẩn bị dữ liệu đúng mục 'Điều kiện trước' và ghi lại các ID ban đầu.
2. Đăng nhập bằng đúng actor/role và chọn company/branch theo điều kiện trước.
3. Thực hiện kịch bản: Membership/company/branch INACTIVE.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11" s="5" t="inlineStr">
        <is>
          <t>403/404/400; không cập nhật preference</t>
        </is>
      </c>
      <c r="M11" s="5" t="inlineStr">
        <is>
          <t>current_company/current_branch/all_branches và audit đúng.</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COM08-09</t>
        </is>
      </c>
      <c r="C12" s="4" t="inlineStr">
        <is>
          <t>UC-COM-08</t>
        </is>
      </c>
      <c r="D12" s="4" t="inlineStr">
        <is>
          <t>Chuyển qua lại C1/B1 → C2/Bx</t>
        </is>
      </c>
      <c r="E12" s="19" t="inlineStr">
        <is>
          <t>P1</t>
        </is>
      </c>
      <c r="F12" s="4" t="inlineStr">
        <is>
          <t>Security/Authorization</t>
        </is>
      </c>
      <c r="G12" s="4" t="inlineStr">
        <is>
          <t>API + Integration</t>
        </is>
      </c>
      <c r="H12" s="4" t="inlineStr">
        <is>
          <t>GET /api/v1/common/scopes/
GET /api/v1/common/companies/mine/
POST /api/v1/common/companies/switch/</t>
        </is>
      </c>
      <c r="I12" s="4" t="inlineStr">
        <is>
          <t>U3/U4/U5 có membership, role và Data Scope như sheet TEST_DATA.</t>
        </is>
      </c>
      <c r="J12" s="4" t="inlineStr">
        <is>
          <t>U3=all branches; U4=B1 only; U5=C1+C2
Bổ sung: Dùng UUID hợp lệ nhưng thuộc C2 hoặc branch ngoài Data Scope</t>
        </is>
      </c>
      <c r="K12" s="4" t="inlineStr">
        <is>
          <t>1. Chuẩn bị dữ liệu đúng mục 'Điều kiện trước' và ghi lại các ID ban đầu.
2. Đăng nhập bằng đúng actor/role và chọn company/branch theo điều kiện trước.
3. Thực hiện kịch bản: Chuyển qua lại C1/B1 → C2/Bx.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12" s="4" t="inlineStr">
        <is>
          <t>Context sau cùng chính xác; API sau đó mặc định dùng current company/scope mới</t>
        </is>
      </c>
      <c r="M12" s="4" t="inlineStr">
        <is>
          <t>current_company/current_branch/all_branches và audit đúng.</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COM08-10</t>
        </is>
      </c>
      <c r="C13" s="5" t="inlineStr">
        <is>
          <t>UC-COM-08</t>
        </is>
      </c>
      <c r="D13" s="5" t="inlineStr">
        <is>
          <t>Có dữ liệu UI chưa lưu và confirm_discard=false/true</t>
        </is>
      </c>
      <c r="E13" s="19" t="inlineStr">
        <is>
          <t>P1</t>
        </is>
      </c>
      <c r="F13" s="5" t="inlineStr">
        <is>
          <t>UI/Validation</t>
        </is>
      </c>
      <c r="G13" s="5" t="inlineStr">
        <is>
          <t>UI + API</t>
        </is>
      </c>
      <c r="H13" s="5" t="inlineStr">
        <is>
          <t>GET /api/v1/common/scopes/
GET /api/v1/common/companies/mine/
POST /api/v1/common/companies/switch/</t>
        </is>
      </c>
      <c r="I13" s="5" t="inlineStr">
        <is>
          <t>U3/U4/U5 có membership, role và Data Scope như sheet TEST_DATA.</t>
        </is>
      </c>
      <c r="J13" s="5" t="inlineStr">
        <is>
          <t>U3=all branches; U4=B1 only; U5=C1+C2</t>
        </is>
      </c>
      <c r="K13" s="5" t="inlineStr">
        <is>
          <t>1. Chuẩn bị dữ liệu đúng mục 'Điều kiện trước' và ghi lại các ID ban đầu.
2. Đăng nhập bằng đúng actor/role và chọn company/branch theo điều kiện trước.
3. Thực hiện kịch bản: Có dữ liệu UI chưa lưu và confirm_discard=false/true.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13" s="5" t="inlineStr">
        <is>
          <t>UI cảnh báo; chỉ chuyển khi xác nhận theo acceptance criteria đã duyệt</t>
        </is>
      </c>
      <c r="M13" s="5" t="inlineStr">
        <is>
          <t>current_company/current_branch/all_branches và audit đúng.</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COM08-11</t>
        </is>
      </c>
      <c r="C14" s="4" t="inlineStr">
        <is>
          <t>UC-COM-08</t>
        </is>
      </c>
      <c r="D14" s="4" t="inlineStr">
        <is>
          <t>Permission/Data Scope bị thu hồi sau khi đã chọn scope</t>
        </is>
      </c>
      <c r="E14" s="15" t="inlineStr">
        <is>
          <t>P0</t>
        </is>
      </c>
      <c r="F14" s="4" t="inlineStr">
        <is>
          <t>Security/Authorization</t>
        </is>
      </c>
      <c r="G14" s="4" t="inlineStr">
        <is>
          <t>API + Integration</t>
        </is>
      </c>
      <c r="H14" s="4" t="inlineStr">
        <is>
          <t>GET /api/v1/common/scopes/
GET /api/v1/common/companies/mine/
POST /api/v1/common/companies/switch/</t>
        </is>
      </c>
      <c r="I14" s="4" t="inlineStr">
        <is>
          <t>U3/U4/U5 có membership, role và Data Scope như sheet TEST_DATA.</t>
        </is>
      </c>
      <c r="J14" s="4" t="inlineStr">
        <is>
          <t>U3=all branches; U4=B1 only; U5=C1+C2</t>
        </is>
      </c>
      <c r="K14" s="4" t="inlineStr">
        <is>
          <t>1. Chuẩn bị dữ liệu đúng mục 'Điều kiện trước' và ghi lại các ID ban đầu.
2. Đăng nhập bằng đúng actor/role và chọn company/branch theo điều kiện trước.
3. Thực hiện kịch bản: Permission/Data Scope bị thu hồi sau khi đã chọn scope.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14" s="4" t="inlineStr">
        <is>
          <t>Các request tiếp theo bị chặn hoặc yêu cầu chọn lại; không dựa vào preference cũ để cấp quyền</t>
        </is>
      </c>
      <c r="M14" s="4" t="inlineStr">
        <is>
          <t>current_company/current_branch/all_branches và audit đúng.</t>
        </is>
      </c>
      <c r="N14" s="4" t="inlineStr"/>
      <c r="O14" s="16" t="inlineStr">
        <is>
          <t>Not Run</t>
        </is>
      </c>
      <c r="P14" s="4" t="inlineStr"/>
      <c r="Q14" s="4" t="inlineStr"/>
      <c r="R14" s="4" t="inlineStr"/>
      <c r="S14" s="4" t="inlineStr"/>
      <c r="T14" s="4" t="inlineStr"/>
      <c r="U14" s="4" t="inlineStr">
        <is>
          <t>Candidate</t>
        </is>
      </c>
      <c r="V14" s="4" t="inlineStr"/>
    </row>
  </sheetData>
  <autoFilter ref="A3:V14"/>
  <mergeCells count="2">
    <mergeCell ref="A2:V2"/>
    <mergeCell ref="A1:V1"/>
  </mergeCells>
  <conditionalFormatting sqref="O4:O14">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4" showDropDown="0" showInputMessage="0" showErrorMessage="0" allowBlank="1" type="list">
      <formula1>"Not Run,Pass,Fail,Blocked,N/A"</formula1>
    </dataValidation>
    <dataValidation sqref="P4:P14" showDropDown="0" showInputMessage="0" showErrorMessage="0" allowBlank="1" type="list">
      <formula1>"S1 Critical,S2 High,S3 Medium,S4 Low"</formula1>
    </dataValidation>
    <dataValidation sqref="U4:U14" showDropDown="0" showInputMessage="0" showErrorMessage="0" allowBlank="1" type="list">
      <formula1>"Manual,Automated,Candidate,Not Applicable"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15"/>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UC-COM-09 – Xem và xử lý thông báo</t>
        </is>
      </c>
    </row>
    <row r="2" ht="30" customHeight="1">
      <c r="A2" s="2" t="inlineStr">
        <is>
          <t>Nguồn: COMMON_SERVICES_TEST_PLAN.md | 12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COM09-01</t>
        </is>
      </c>
      <c r="C4" s="4" t="inlineStr">
        <is>
          <t>UC-COM-09</t>
        </is>
      </c>
      <c r="D4" s="4" t="inlineStr">
        <is>
          <t>Liệt kê thông báo của user</t>
        </is>
      </c>
      <c r="E4" s="19" t="inlineStr">
        <is>
          <t>P1</t>
        </is>
      </c>
      <c r="F4" s="4" t="inlineStr">
        <is>
          <t>Functional</t>
        </is>
      </c>
      <c r="G4" s="4" t="inlineStr">
        <is>
          <t>API + UI/E2E</t>
        </is>
      </c>
      <c r="H4" s="4" t="inlineStr">
        <is>
          <t>GET /api/v1/common/notifications/
POST /api/v1/common/notifications/{id}/{read|unread|archive|open}/
POST /api/v1/common/notifications/read-all/
GET /api/v1/common/notifications/unread-count/</t>
        </is>
      </c>
      <c r="I4" s="4" t="inlineStr">
        <is>
          <t>Có N1–N6 thuộc nhiều trạng thái/company/permission; user đã đăng nhập.</t>
        </is>
      </c>
      <c r="J4" s="4" t="inlineStr">
        <is>
          <t>notifications=N1–N6; company=C1; page_size=20</t>
        </is>
      </c>
      <c r="K4" s="4" t="inlineStr">
        <is>
          <t>1. Chuẩn bị dữ liệu đúng mục 'Điều kiện trước' và ghi lại các ID ban đầu.
2. Đăng nhập bằng đúng actor/role và chọn company/branch theo điều kiện trước.
3. Thực hiện kịch bản: Liệt kê thông báo của user.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4" s="4" t="inlineStr">
        <is>
          <t>Phân trang mặc định 20, mới nhất trước; chỉ recipient hiện tại; loại archived/expired</t>
        </is>
      </c>
      <c r="M4" s="4" t="inlineStr">
        <is>
          <t>read_at/hidden_at/count/list nhất quán; notification không bị xóa vật lý ngoài rule.</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COM09-02</t>
        </is>
      </c>
      <c r="C5" s="5" t="inlineStr">
        <is>
          <t>UC-COM-09</t>
        </is>
      </c>
      <c r="D5" s="5" t="inlineStr">
        <is>
          <t>Lọc company, unread/status, level, module, date range</t>
        </is>
      </c>
      <c r="E5" s="19" t="inlineStr">
        <is>
          <t>P1</t>
        </is>
      </c>
      <c r="F5" s="5" t="inlineStr">
        <is>
          <t>Functional</t>
        </is>
      </c>
      <c r="G5" s="5" t="inlineStr">
        <is>
          <t>API + UI/E2E</t>
        </is>
      </c>
      <c r="H5" s="5" t="inlineStr">
        <is>
          <t>GET /api/v1/common/notifications/
POST /api/v1/common/notifications/{id}/{read|unread|archive|open}/
POST /api/v1/common/notifications/read-all/
GET /api/v1/common/notifications/unread-count/</t>
        </is>
      </c>
      <c r="I5" s="5" t="inlineStr">
        <is>
          <t>Có N1–N6 thuộc nhiều trạng thái/company/permission; user đã đăng nhập.</t>
        </is>
      </c>
      <c r="J5" s="5" t="inlineStr">
        <is>
          <t>notifications=N1–N6; company=C1; page_size=20</t>
        </is>
      </c>
      <c r="K5" s="5" t="inlineStr">
        <is>
          <t>1. Chuẩn bị dữ liệu đúng mục 'Điều kiện trước' và ghi lại các ID ban đầu.
2. Đăng nhập bằng đúng actor/role và chọn company/branch theo điều kiện trước.
3. Thực hiện kịch bản: Lọc company, unread/status, level, module, date range.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5" s="5" t="inlineStr">
        <is>
          <t>Kết quả thỏa tất cả bộ lọc; page_size tối đa 100</t>
        </is>
      </c>
      <c r="M5" s="5" t="inlineStr">
        <is>
          <t>read_at/hidden_at/count/list nhất quán; notification không bị xóa vật lý ngoài rule.</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COM09-03</t>
        </is>
      </c>
      <c r="C6" s="4" t="inlineStr">
        <is>
          <t>UC-COM-09</t>
        </is>
      </c>
      <c r="D6" s="4" t="inlineStr">
        <is>
          <t>User U8 truy cập notification ID của U3</t>
        </is>
      </c>
      <c r="E6" s="15" t="inlineStr">
        <is>
          <t>P0</t>
        </is>
      </c>
      <c r="F6" s="4" t="inlineStr">
        <is>
          <t>Functional</t>
        </is>
      </c>
      <c r="G6" s="4" t="inlineStr">
        <is>
          <t>API + UI/E2E</t>
        </is>
      </c>
      <c r="H6" s="4" t="inlineStr">
        <is>
          <t>GET /api/v1/common/notifications/
POST /api/v1/common/notifications/{id}/{read|unread|archive|open}/
POST /api/v1/common/notifications/read-all/
GET /api/v1/common/notifications/unread-count/</t>
        </is>
      </c>
      <c r="I6" s="4" t="inlineStr">
        <is>
          <t>Có N1–N6 thuộc nhiều trạng thái/company/permission; user đã đăng nhập.</t>
        </is>
      </c>
      <c r="J6" s="4" t="inlineStr">
        <is>
          <t>notifications=N1–N6; company=C1; page_size=20</t>
        </is>
      </c>
      <c r="K6" s="4" t="inlineStr">
        <is>
          <t>1. Chuẩn bị dữ liệu đúng mục 'Điều kiện trước' và ghi lại các ID ban đầu.
2. Đăng nhập bằng đúng actor/role và chọn company/branch theo điều kiện trước.
3. Thực hiện kịch bản: User U8 truy cập notification ID của U3.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6" s="4" t="inlineStr">
        <is>
          <t>404; không lộ title/message/link</t>
        </is>
      </c>
      <c r="M6" s="4" t="inlineStr">
        <is>
          <t>read_at/hidden_at/count/list nhất quán; notification không bị xóa vật lý ngoài rule.</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COM09-04</t>
        </is>
      </c>
      <c r="C7" s="5" t="inlineStr">
        <is>
          <t>UC-COM-09</t>
        </is>
      </c>
      <c r="D7" s="5" t="inlineStr">
        <is>
          <t>Mark read rồi mark unread</t>
        </is>
      </c>
      <c r="E7" s="19" t="inlineStr">
        <is>
          <t>P1</t>
        </is>
      </c>
      <c r="F7" s="5" t="inlineStr">
        <is>
          <t>Functional</t>
        </is>
      </c>
      <c r="G7" s="5" t="inlineStr">
        <is>
          <t>API + UI/E2E</t>
        </is>
      </c>
      <c r="H7" s="5" t="inlineStr">
        <is>
          <t>GET /api/v1/common/notifications/
POST /api/v1/common/notifications/{id}/{read|unread|archive|open}/
POST /api/v1/common/notifications/read-all/
GET /api/v1/common/notifications/unread-count/</t>
        </is>
      </c>
      <c r="I7" s="5" t="inlineStr">
        <is>
          <t>Có N1–N6 thuộc nhiều trạng thái/company/permission; user đã đăng nhập.</t>
        </is>
      </c>
      <c r="J7" s="5" t="inlineStr">
        <is>
          <t>notifications=N1–N6; company=C1; page_size=20</t>
        </is>
      </c>
      <c r="K7" s="5" t="inlineStr">
        <is>
          <t>1. Chuẩn bị dữ liệu đúng mục 'Điều kiện trước' và ghi lại các ID ban đầu.
2. Đăng nhập bằng đúng actor/role và chọn company/branch theo điều kiện trước.
3. Thực hiện kịch bản: Mark read rồi mark unread.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7" s="5" t="inlineStr">
        <is>
          <t>read_at được set/clear; status READ/UNREAD đúng; thao tác idempotent</t>
        </is>
      </c>
      <c r="M7" s="5" t="inlineStr">
        <is>
          <t>read_at/hidden_at/count/list nhất quán; notification không bị xóa vật lý ngoài rule.</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COM09-05</t>
        </is>
      </c>
      <c r="C8" s="4" t="inlineStr">
        <is>
          <t>UC-COM-09</t>
        </is>
      </c>
      <c r="D8" s="4" t="inlineStr">
        <is>
          <t>Read all trong phạm vi/bộ lọc hiện tại</t>
        </is>
      </c>
      <c r="E8" s="19" t="inlineStr">
        <is>
          <t>P1</t>
        </is>
      </c>
      <c r="F8" s="4" t="inlineStr">
        <is>
          <t>Functional</t>
        </is>
      </c>
      <c r="G8" s="4" t="inlineStr">
        <is>
          <t>API + UI/E2E</t>
        </is>
      </c>
      <c r="H8" s="4" t="inlineStr">
        <is>
          <t>GET /api/v1/common/notifications/
POST /api/v1/common/notifications/{id}/{read|unread|archive|open}/
POST /api/v1/common/notifications/read-all/
GET /api/v1/common/notifications/unread-count/</t>
        </is>
      </c>
      <c r="I8" s="4" t="inlineStr">
        <is>
          <t>Có N1–N6 thuộc nhiều trạng thái/company/permission; user đã đăng nhập.</t>
        </is>
      </c>
      <c r="J8" s="4" t="inlineStr">
        <is>
          <t>notifications=N1–N6; company=C1; page_size=20</t>
        </is>
      </c>
      <c r="K8" s="4" t="inlineStr">
        <is>
          <t>1. Chuẩn bị dữ liệu đúng mục 'Điều kiện trước' và ghi lại các ID ban đầu.
2. Đăng nhập bằng đúng actor/role và chọn company/branch theo điều kiện trước.
3. Thực hiện kịch bản: Read all trong phạm vi/bộ lọc hiện tại.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8" s="4" t="inlineStr">
        <is>
          <t>Chỉ cập nhật tập đang thấy; trả số lượng chính xác</t>
        </is>
      </c>
      <c r="M8" s="4" t="inlineStr">
        <is>
          <t>read_at/hidden_at/count/list nhất quán; notification không bị xóa vật lý ngoài rule.</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COM09-06</t>
        </is>
      </c>
      <c r="C9" s="5" t="inlineStr">
        <is>
          <t>UC-COM-09</t>
        </is>
      </c>
      <c r="D9" s="5" t="inlineStr">
        <is>
          <t>Unread count theo company/filter</t>
        </is>
      </c>
      <c r="E9" s="19" t="inlineStr">
        <is>
          <t>P1</t>
        </is>
      </c>
      <c r="F9" s="5" t="inlineStr">
        <is>
          <t>Functional</t>
        </is>
      </c>
      <c r="G9" s="5" t="inlineStr">
        <is>
          <t>API + UI/E2E</t>
        </is>
      </c>
      <c r="H9" s="5" t="inlineStr">
        <is>
          <t>GET /api/v1/common/notifications/
POST /api/v1/common/notifications/{id}/{read|unread|archive|open}/
POST /api/v1/common/notifications/read-all/
GET /api/v1/common/notifications/unread-count/</t>
        </is>
      </c>
      <c r="I9" s="5" t="inlineStr">
        <is>
          <t>Có N1–N6 thuộc nhiều trạng thái/company/permission; user đã đăng nhập.</t>
        </is>
      </c>
      <c r="J9" s="5" t="inlineStr">
        <is>
          <t>notifications=N1–N6; company=C1; page_size=20</t>
        </is>
      </c>
      <c r="K9" s="5" t="inlineStr">
        <is>
          <t>1. Chuẩn bị dữ liệu đúng mục 'Điều kiện trước' và ghi lại các ID ban đầu.
2. Đăng nhập bằng đúng actor/role và chọn company/branch theo điều kiện trước.
3. Thực hiện kịch bản: Unread count theo company/filter.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9" s="5" t="inlineStr">
        <is>
          <t>Khớp danh sách và thay đổi ngay sau read/unread/archive</t>
        </is>
      </c>
      <c r="M9" s="5" t="inlineStr">
        <is>
          <t>read_at/hidden_at/count/list nhất quán; notification không bị xóa vật lý ngoài rule.</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COM09-07</t>
        </is>
      </c>
      <c r="C10" s="4" t="inlineStr">
        <is>
          <t>UC-COM-09</t>
        </is>
      </c>
      <c r="D10" s="4" t="inlineStr">
        <is>
          <t>Archive/hide notification</t>
        </is>
      </c>
      <c r="E10" s="19" t="inlineStr">
        <is>
          <t>P1</t>
        </is>
      </c>
      <c r="F10" s="4" t="inlineStr">
        <is>
          <t>Functional</t>
        </is>
      </c>
      <c r="G10" s="4" t="inlineStr">
        <is>
          <t>API + UI/E2E</t>
        </is>
      </c>
      <c r="H10" s="4" t="inlineStr">
        <is>
          <t>GET /api/v1/common/notifications/
POST /api/v1/common/notifications/{id}/{read|unread|archive|open}/
POST /api/v1/common/notifications/read-all/
GET /api/v1/common/notifications/unread-count/</t>
        </is>
      </c>
      <c r="I10" s="4" t="inlineStr">
        <is>
          <t>Có N1–N6 thuộc nhiều trạng thái/company/permission; user đã đăng nhập.</t>
        </is>
      </c>
      <c r="J10" s="4" t="inlineStr">
        <is>
          <t>notifications=N1–N6; company=C1; page_size=20</t>
        </is>
      </c>
      <c r="K10" s="4" t="inlineStr">
        <is>
          <t>1. Chuẩn bị dữ liệu đúng mục 'Điều kiện trước' và ghi lại các ID ban đầu.
2. Đăng nhập bằng đúng actor/role và chọn company/branch theo điều kiện trước.
3. Thực hiện kịch bản: Archive/hide notification.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10" s="4" t="inlineStr">
        <is>
          <t>204; không còn trong list/count; không xóa vật lý ngoài chính sách</t>
        </is>
      </c>
      <c r="M10" s="4" t="inlineStr">
        <is>
          <t>read_at/hidden_at/count/list nhất quán; notification không bị xóa vật lý ngoài rule.</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COM09-08</t>
        </is>
      </c>
      <c r="C11" s="5" t="inlineStr">
        <is>
          <t>UC-COM-09</t>
        </is>
      </c>
      <c r="D11" s="5" t="inlineStr">
        <is>
          <t>Open notification khi vẫn có membership và permission</t>
        </is>
      </c>
      <c r="E11" s="15" t="inlineStr">
        <is>
          <t>P0</t>
        </is>
      </c>
      <c r="F11" s="5" t="inlineStr">
        <is>
          <t>Security/Authorization</t>
        </is>
      </c>
      <c r="G11" s="5" t="inlineStr">
        <is>
          <t>API + Integration</t>
        </is>
      </c>
      <c r="H11" s="5" t="inlineStr">
        <is>
          <t>GET /api/v1/common/notifications/
POST /api/v1/common/notifications/{id}/{read|unread|archive|open}/
POST /api/v1/common/notifications/read-all/
GET /api/v1/common/notifications/unread-count/</t>
        </is>
      </c>
      <c r="I11" s="5" t="inlineStr">
        <is>
          <t>Có N1–N6 thuộc nhiều trạng thái/company/permission; user đã đăng nhập.</t>
        </is>
      </c>
      <c r="J11" s="5" t="inlineStr">
        <is>
          <t>notifications=N1–N6; company=C1; page_size=20</t>
        </is>
      </c>
      <c r="K11" s="5" t="inlineStr">
        <is>
          <t>1. Chuẩn bị dữ liệu đúng mục 'Điều kiện trước' và ghi lại các ID ban đầu.
2. Đăng nhập bằng đúng actor/role và chọn company/branch theo điều kiện trước.
3. Thực hiện kịch bản: Open notification khi vẫn có membership và permission.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11" s="5" t="inlineStr">
        <is>
          <t>Tự mark read; trả link hoặc null đúng dữ liệu</t>
        </is>
      </c>
      <c r="M11" s="5" t="inlineStr">
        <is>
          <t>read_at/hidden_at/count/list nhất quán; notification không bị xóa vật lý ngoài rule.</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COM09-09</t>
        </is>
      </c>
      <c r="C12" s="4" t="inlineStr">
        <is>
          <t>UC-COM-09</t>
        </is>
      </c>
      <c r="D12" s="4" t="inlineStr">
        <is>
          <t>Permission/membership bị thu hồi trước khi open</t>
        </is>
      </c>
      <c r="E12" s="15" t="inlineStr">
        <is>
          <t>P0</t>
        </is>
      </c>
      <c r="F12" s="4" t="inlineStr">
        <is>
          <t>Security/Authorization</t>
        </is>
      </c>
      <c r="G12" s="4" t="inlineStr">
        <is>
          <t>API + Integration</t>
        </is>
      </c>
      <c r="H12" s="4" t="inlineStr">
        <is>
          <t>GET /api/v1/common/notifications/
POST /api/v1/common/notifications/{id}/{read|unread|archive|open}/
POST /api/v1/common/notifications/read-all/
GET /api/v1/common/notifications/unread-count/</t>
        </is>
      </c>
      <c r="I12" s="4" t="inlineStr">
        <is>
          <t>Có N1–N6 thuộc nhiều trạng thái/company/permission; user đã đăng nhập.</t>
        </is>
      </c>
      <c r="J12" s="4" t="inlineStr">
        <is>
          <t>notifications=N1–N6; company=C1; page_size=20</t>
        </is>
      </c>
      <c r="K12" s="4" t="inlineStr">
        <is>
          <t>1. Chuẩn bị dữ liệu đúng mục 'Điều kiện trước' và ghi lại các ID ban đầu.
2. Đăng nhập bằng đúng actor/role và chọn company/branch theo điều kiện trước.
3. Thực hiện kịch bản: Permission/membership bị thu hồi trước khi open.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12" s="4" t="inlineStr">
        <is>
          <t>403; không điều hướng hoặc lộ nội dung đích</t>
        </is>
      </c>
      <c r="M12" s="4" t="inlineStr">
        <is>
          <t>read_at/hidden_at/count/list nhất quán; notification không bị xóa vật lý ngoài rule.</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COM09-10</t>
        </is>
      </c>
      <c r="C13" s="5" t="inlineStr">
        <is>
          <t>UC-COM-09</t>
        </is>
      </c>
      <c r="D13" s="5" t="inlineStr">
        <is>
          <t>Notification toàn hệ thống không có company</t>
        </is>
      </c>
      <c r="E13" s="19" t="inlineStr">
        <is>
          <t>P1</t>
        </is>
      </c>
      <c r="F13" s="5" t="inlineStr">
        <is>
          <t>Functional</t>
        </is>
      </c>
      <c r="G13" s="5" t="inlineStr">
        <is>
          <t>API + UI/E2E</t>
        </is>
      </c>
      <c r="H13" s="5" t="inlineStr">
        <is>
          <t>GET /api/v1/common/notifications/
POST /api/v1/common/notifications/{id}/{read|unread|archive|open}/
POST /api/v1/common/notifications/read-all/
GET /api/v1/common/notifications/unread-count/</t>
        </is>
      </c>
      <c r="I13" s="5" t="inlineStr">
        <is>
          <t>Có N1–N6 thuộc nhiều trạng thái/company/permission; user đã đăng nhập.</t>
        </is>
      </c>
      <c r="J13" s="5" t="inlineStr">
        <is>
          <t>notifications=N1–N6; company=C1; page_size=20</t>
        </is>
      </c>
      <c r="K13" s="5" t="inlineStr">
        <is>
          <t>1. Chuẩn bị dữ liệu đúng mục 'Điều kiện trước' và ghi lại các ID ban đầu.
2. Đăng nhập bằng đúng actor/role và chọn company/branch theo điều kiện trước.
3. Thực hiện kịch bản: Notification toàn hệ thống không có company.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13" s="5" t="inlineStr">
        <is>
          <t>Vẫn hiển thị đúng recipient và mở an toàn</t>
        </is>
      </c>
      <c r="M13" s="5" t="inlineStr">
        <is>
          <t>read_at/hidden_at/count/list nhất quán; notification không bị xóa vật lý ngoài rule.</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COM09-11</t>
        </is>
      </c>
      <c r="C14" s="4" t="inlineStr">
        <is>
          <t>UC-COM-09</t>
        </is>
      </c>
      <c r="D14" s="4" t="inlineStr">
        <is>
          <t>Tạo lại cùng recipient + event_key</t>
        </is>
      </c>
      <c r="E14" s="19" t="inlineStr">
        <is>
          <t>P1</t>
        </is>
      </c>
      <c r="F14" s="4" t="inlineStr">
        <is>
          <t>Functional</t>
        </is>
      </c>
      <c r="G14" s="4" t="inlineStr">
        <is>
          <t>API + UI/E2E</t>
        </is>
      </c>
      <c r="H14" s="4" t="inlineStr">
        <is>
          <t>GET /api/v1/common/notifications/
POST /api/v1/common/notifications/{id}/{read|unread|archive|open}/
POST /api/v1/common/notifications/read-all/
GET /api/v1/common/notifications/unread-count/</t>
        </is>
      </c>
      <c r="I14" s="4" t="inlineStr">
        <is>
          <t>Có N1–N6 thuộc nhiều trạng thái/company/permission; user đã đăng nhập.</t>
        </is>
      </c>
      <c r="J14" s="4" t="inlineStr">
        <is>
          <t>notifications=N1–N6; company=C1; page_size=20</t>
        </is>
      </c>
      <c r="K14" s="4" t="inlineStr">
        <is>
          <t>1. Chuẩn bị dữ liệu đúng mục 'Điều kiện trước' và ghi lại các ID ban đầu.
2. Đăng nhập bằng đúng actor/role và chọn company/branch theo điều kiện trước.
3. Thực hiện kịch bản: Tạo lại cùng recipient + event_key.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14" s="4" t="inlineStr">
        <is>
          <t>Không tạo thông báo trùng</t>
        </is>
      </c>
      <c r="M14" s="4" t="inlineStr">
        <is>
          <t>read_at/hidden_at/count/list nhất quán; notification không bị xóa vật lý ngoài rule.</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COM09-12</t>
        </is>
      </c>
      <c r="C15" s="5" t="inlineStr">
        <is>
          <t>UC-COM-09</t>
        </is>
      </c>
      <c r="D15" s="5" t="inlineStr">
        <is>
          <t>Mốc ngày/giờ quanh 00:00 timezone Việt Nam</t>
        </is>
      </c>
      <c r="E15" s="20" t="inlineStr">
        <is>
          <t>P2</t>
        </is>
      </c>
      <c r="F15" s="5" t="inlineStr">
        <is>
          <t>Functional</t>
        </is>
      </c>
      <c r="G15" s="5" t="inlineStr">
        <is>
          <t>API + UI/E2E</t>
        </is>
      </c>
      <c r="H15" s="5" t="inlineStr">
        <is>
          <t>GET /api/v1/common/notifications/
POST /api/v1/common/notifications/{id}/{read|unread|archive|open}/
POST /api/v1/common/notifications/read-all/
GET /api/v1/common/notifications/unread-count/</t>
        </is>
      </c>
      <c r="I15" s="5" t="inlineStr">
        <is>
          <t>Có N1–N6 thuộc nhiều trạng thái/company/permission; user đã đăng nhập.</t>
        </is>
      </c>
      <c r="J15" s="5" t="inlineStr">
        <is>
          <t>notifications=N1–N6; company=C1; page_size=20</t>
        </is>
      </c>
      <c r="K15" s="5" t="inlineStr">
        <is>
          <t>1. Chuẩn bị dữ liệu đúng mục 'Điều kiện trước' và ghi lại các ID ban đầu.
2. Đăng nhập bằng đúng actor/role và chọn company/branch theo điều kiện trước.
3. Thực hiện kịch bản: Mốc ngày/giờ quanh 00:00 timezone Việt Nam.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15" s="5" t="inlineStr">
        <is>
          <t>Lọc date_from/date_to đúng ngày địa phương đã thống nhất</t>
        </is>
      </c>
      <c r="M15" s="5" t="inlineStr">
        <is>
          <t>read_at/hidden_at/count/list nhất quán; notification không bị xóa vật lý ngoài rule.</t>
        </is>
      </c>
      <c r="N15" s="5" t="inlineStr"/>
      <c r="O15" s="18" t="inlineStr">
        <is>
          <t>Not Run</t>
        </is>
      </c>
      <c r="P15" s="5" t="inlineStr"/>
      <c r="Q15" s="5" t="inlineStr"/>
      <c r="R15" s="5" t="inlineStr"/>
      <c r="S15" s="5" t="inlineStr"/>
      <c r="T15" s="5" t="inlineStr"/>
      <c r="U15" s="5" t="inlineStr">
        <is>
          <t>Candidate</t>
        </is>
      </c>
      <c r="V15" s="5" t="inlineStr"/>
    </row>
  </sheetData>
  <autoFilter ref="A3:V15"/>
  <mergeCells count="2">
    <mergeCell ref="A2:V2"/>
    <mergeCell ref="A1:V1"/>
  </mergeCells>
  <conditionalFormatting sqref="O4:O15">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5" showDropDown="0" showInputMessage="0" showErrorMessage="0" allowBlank="1" type="list">
      <formula1>"Not Run,Pass,Fail,Blocked,N/A"</formula1>
    </dataValidation>
    <dataValidation sqref="P4:P15" showDropDown="0" showInputMessage="0" showErrorMessage="0" allowBlank="1" type="list">
      <formula1>"S1 Critical,S2 High,S3 Medium,S4 Low"</formula1>
    </dataValidation>
    <dataValidation sqref="U4:U15" showDropDown="0" showInputMessage="0" showErrorMessage="0" allowBlank="1" type="list">
      <formula1>"Manual,Automated,Candidate,Not Applicable"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14"/>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UC-COM-10 – Tìm kiếm toàn hệ thống</t>
        </is>
      </c>
    </row>
    <row r="2" ht="30" customHeight="1">
      <c r="A2" s="2" t="inlineStr">
        <is>
          <t>Nguồn: COMMON_SERVICES_TEST_PLAN.md | 11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COM10-01</t>
        </is>
      </c>
      <c r="C4" s="4" t="inlineStr">
        <is>
          <t>UC-COM-10</t>
        </is>
      </c>
      <c r="D4" s="4" t="inlineStr">
        <is>
          <t>Tìm theo tên có dấu và truy vấn không dấu</t>
        </is>
      </c>
      <c r="E4" s="19" t="inlineStr">
        <is>
          <t>P1</t>
        </is>
      </c>
      <c r="F4" s="4" t="inlineStr">
        <is>
          <t>Functional</t>
        </is>
      </c>
      <c r="G4" s="4" t="inlineStr">
        <is>
          <t>API + UI/E2E</t>
        </is>
      </c>
      <c r="H4" s="4" t="inlineStr">
        <is>
          <t>GET /api/v1/common/search/
POST /api/v1/common/search/open/</t>
        </is>
      </c>
      <c r="I4" s="4" t="inlineStr">
        <is>
          <t>Có dữ liệu tìm kiếm tại C1/C2/B1/B2; permission COM.SEARCH.USE được cấu hình theo case.</t>
        </is>
      </c>
      <c r="J4" s="4" t="inlineStr">
        <is>
          <t>q=anh duong; company=C1; branch=B1; page=1; page_size=20</t>
        </is>
      </c>
      <c r="K4" s="4" t="inlineStr">
        <is>
          <t>1. Chuẩn bị dữ liệu đúng mục 'Điều kiện trước' và ghi lại các ID ban đầu.
2. Đăng nhập bằng đúng actor/role và chọn company/branch theo điều kiện trước.
3. Thực hiện kịch bản: Tìm theo tên có dấu và truy vấn không dấu.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4" s="4" t="inlineStr">
        <is>
          <t>Trả cùng đối tượng phù hợp; highlight/preview không làm sai dữ liệu</t>
        </is>
      </c>
      <c r="M4" s="4" t="inlineStr">
        <is>
          <t>Không có dữ liệu ngoài tenant/scope trong item, preview hoặc count.</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COM10-02</t>
        </is>
      </c>
      <c r="C5" s="5" t="inlineStr">
        <is>
          <t>UC-COM-10</t>
        </is>
      </c>
      <c r="D5" s="5" t="inlineStr">
        <is>
          <t>Query có khoảng trắng thừa, đúng 2 ký tự, 1 ký tự, &gt;255 ký tự</t>
        </is>
      </c>
      <c r="E5" s="19" t="inlineStr">
        <is>
          <t>P1</t>
        </is>
      </c>
      <c r="F5" s="5" t="inlineStr">
        <is>
          <t>Functional</t>
        </is>
      </c>
      <c r="G5" s="5" t="inlineStr">
        <is>
          <t>API + UI/E2E</t>
        </is>
      </c>
      <c r="H5" s="5" t="inlineStr">
        <is>
          <t>GET /api/v1/common/search/
POST /api/v1/common/search/open/</t>
        </is>
      </c>
      <c r="I5" s="5" t="inlineStr">
        <is>
          <t>Có dữ liệu tìm kiếm tại C1/C2/B1/B2; permission COM.SEARCH.USE được cấu hình theo case.</t>
        </is>
      </c>
      <c r="J5" s="5" t="inlineStr">
        <is>
          <t>q=anh duong; company=C1; branch=B1; page=1; page_size=20</t>
        </is>
      </c>
      <c r="K5" s="5" t="inlineStr">
        <is>
          <t>1. Chuẩn bị dữ liệu đúng mục 'Điều kiện trước' và ghi lại các ID ban đầu.
2. Đăng nhập bằng đúng actor/role và chọn company/branch theo điều kiện trước.
3. Thực hiện kịch bản: Query có khoảng trắng thừa, đúng 2 ký tự, 1 ký tự, &gt;255 ký tự.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5" s="5" t="inlineStr">
        <is>
          <t>Chuẩn hóa hợp lệ; biên sai trả 400</t>
        </is>
      </c>
      <c r="M5" s="5" t="inlineStr">
        <is>
          <t>Không có dữ liệu ngoài tenant/scope trong item, preview hoặc count.</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COM10-03</t>
        </is>
      </c>
      <c r="C6" s="4" t="inlineStr">
        <is>
          <t>UC-COM-10</t>
        </is>
      </c>
      <c r="D6" s="4" t="inlineStr">
        <is>
          <t>User không có COM.SEARCH.USE</t>
        </is>
      </c>
      <c r="E6" s="15" t="inlineStr">
        <is>
          <t>P0</t>
        </is>
      </c>
      <c r="F6" s="4" t="inlineStr">
        <is>
          <t>Functional</t>
        </is>
      </c>
      <c r="G6" s="4" t="inlineStr">
        <is>
          <t>API + UI/E2E</t>
        </is>
      </c>
      <c r="H6" s="4" t="inlineStr">
        <is>
          <t>GET /api/v1/common/search/
POST /api/v1/common/search/open/</t>
        </is>
      </c>
      <c r="I6" s="4" t="inlineStr">
        <is>
          <t>Có dữ liệu tìm kiếm tại C1/C2/B1/B2; permission COM.SEARCH.USE được cấu hình theo case.</t>
        </is>
      </c>
      <c r="J6" s="4" t="inlineStr">
        <is>
          <t>q=anh duong; company=C1; branch=B1; page=1; page_size=20</t>
        </is>
      </c>
      <c r="K6" s="4" t="inlineStr">
        <is>
          <t>1. Chuẩn bị dữ liệu đúng mục 'Điều kiện trước' và ghi lại các ID ban đầu.
2. Đăng nhập bằng đúng actor/role và chọn company/branch theo điều kiện trước.
3. Thực hiện kịch bản: User không có COM.SEARCH.USE.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6" s="4" t="inlineStr">
        <is>
          <t>403; không trả tổng số hay preview</t>
        </is>
      </c>
      <c r="M6" s="4" t="inlineStr">
        <is>
          <t>Không có dữ liệu ngoài tenant/scope trong item, preview hoặc count.</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COM10-04</t>
        </is>
      </c>
      <c r="C7" s="5" t="inlineStr">
        <is>
          <t>UC-COM-10</t>
        </is>
      </c>
      <c r="D7" s="5" t="inlineStr">
        <is>
          <t>Kết quả thuộc company khác/branch ngoài scope</t>
        </is>
      </c>
      <c r="E7" s="15" t="inlineStr">
        <is>
          <t>P0</t>
        </is>
      </c>
      <c r="F7" s="5" t="inlineStr">
        <is>
          <t>Security/Authorization</t>
        </is>
      </c>
      <c r="G7" s="5" t="inlineStr">
        <is>
          <t>API + Integration</t>
        </is>
      </c>
      <c r="H7" s="5" t="inlineStr">
        <is>
          <t>GET /api/v1/common/search/
POST /api/v1/common/search/open/</t>
        </is>
      </c>
      <c r="I7" s="5" t="inlineStr">
        <is>
          <t>Có dữ liệu tìm kiếm tại C1/C2/B1/B2; permission COM.SEARCH.USE được cấu hình theo case.</t>
        </is>
      </c>
      <c r="J7" s="5" t="inlineStr">
        <is>
          <t>q=anh duong; company=C1; branch=B1; page=1; page_size=20
Bổ sung: Dùng UUID hợp lệ nhưng thuộc C2 hoặc branch ngoài Data Scope</t>
        </is>
      </c>
      <c r="K7" s="5" t="inlineStr">
        <is>
          <t>1. Chuẩn bị dữ liệu đúng mục 'Điều kiện trước' và ghi lại các ID ban đầu.
2. Đăng nhập bằng đúng actor/role và chọn company/branch theo điều kiện trước.
3. Thực hiện kịch bản: Kết quả thuộc company khác/branch ngoài scope.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7" s="5" t="inlineStr">
        <is>
          <t>Không xuất hiện trong bất kỳ group/count nào</t>
        </is>
      </c>
      <c r="M7" s="5" t="inlineStr">
        <is>
          <t>Không có dữ liệu ngoài tenant/scope trong item, preview hoặc count.</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COM10-05</t>
        </is>
      </c>
      <c r="C8" s="4" t="inlineStr">
        <is>
          <t>UC-COM-10</t>
        </is>
      </c>
      <c r="D8" s="4" t="inlineStr">
        <is>
          <t>Lọc group/status/date/branch</t>
        </is>
      </c>
      <c r="E8" s="19" t="inlineStr">
        <is>
          <t>P1</t>
        </is>
      </c>
      <c r="F8" s="4" t="inlineStr">
        <is>
          <t>Functional</t>
        </is>
      </c>
      <c r="G8" s="4" t="inlineStr">
        <is>
          <t>API + UI/E2E</t>
        </is>
      </c>
      <c r="H8" s="4" t="inlineStr">
        <is>
          <t>GET /api/v1/common/search/
POST /api/v1/common/search/open/</t>
        </is>
      </c>
      <c r="I8" s="4" t="inlineStr">
        <is>
          <t>Có dữ liệu tìm kiếm tại C1/C2/B1/B2; permission COM.SEARCH.USE được cấu hình theo case.</t>
        </is>
      </c>
      <c r="J8" s="4" t="inlineStr">
        <is>
          <t>q=anh duong; company=C1; branch=B1; page=1; page_size=20</t>
        </is>
      </c>
      <c r="K8" s="4" t="inlineStr">
        <is>
          <t>1. Chuẩn bị dữ liệu đúng mục 'Điều kiện trước' và ghi lại các ID ban đầu.
2. Đăng nhập bằng đúng actor/role và chọn company/branch theo điều kiện trước.
3. Thực hiện kịch bản: Lọc group/status/date/branch.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8" s="4" t="inlineStr">
        <is>
          <t>Kết quả và total theo đúng điều kiện</t>
        </is>
      </c>
      <c r="M8" s="4" t="inlineStr">
        <is>
          <t>Không có dữ liệu ngoài tenant/scope trong item, preview hoặc count.</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COM10-06</t>
        </is>
      </c>
      <c r="C9" s="5" t="inlineStr">
        <is>
          <t>UC-COM-10</t>
        </is>
      </c>
      <c r="D9" s="5" t="inlineStr">
        <is>
          <t>Pagination theo group với page/page_size/preview_size biên</t>
        </is>
      </c>
      <c r="E9" s="19" t="inlineStr">
        <is>
          <t>P1</t>
        </is>
      </c>
      <c r="F9" s="5" t="inlineStr">
        <is>
          <t>Functional</t>
        </is>
      </c>
      <c r="G9" s="5" t="inlineStr">
        <is>
          <t>API + UI/E2E</t>
        </is>
      </c>
      <c r="H9" s="5" t="inlineStr">
        <is>
          <t>GET /api/v1/common/search/
POST /api/v1/common/search/open/</t>
        </is>
      </c>
      <c r="I9" s="5" t="inlineStr">
        <is>
          <t>Có dữ liệu tìm kiếm tại C1/C2/B1/B2; permission COM.SEARCH.USE được cấu hình theo case.</t>
        </is>
      </c>
      <c r="J9" s="5" t="inlineStr">
        <is>
          <t>q=anh duong; company=C1; branch=B1; page=1; page_size=20</t>
        </is>
      </c>
      <c r="K9" s="5" t="inlineStr">
        <is>
          <t>1. Chuẩn bị dữ liệu đúng mục 'Điều kiện trước' và ghi lại các ID ban đầu.
2. Đăng nhập bằng đúng actor/role và chọn company/branch theo điều kiện trước.
3. Thực hiện kịch bản: Pagination theo group với page/page_size/preview_size biên.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9" s="5" t="inlineStr">
        <is>
          <t>Không trùng/mất bản ghi; max lần lượt 100/20 được thực thi</t>
        </is>
      </c>
      <c r="M9" s="5" t="inlineStr">
        <is>
          <t>Không có dữ liệu ngoài tenant/scope trong item, preview hoặc count.</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COM10-07</t>
        </is>
      </c>
      <c r="C10" s="4" t="inlineStr">
        <is>
          <t>UC-COM-10</t>
        </is>
      </c>
      <c r="D10" s="4" t="inlineStr">
        <is>
          <t>Không truyền company nhưng có current_company</t>
        </is>
      </c>
      <c r="E10" s="19" t="inlineStr">
        <is>
          <t>P1</t>
        </is>
      </c>
      <c r="F10" s="4" t="inlineStr">
        <is>
          <t>Functional</t>
        </is>
      </c>
      <c r="G10" s="4" t="inlineStr">
        <is>
          <t>API + UI/E2E</t>
        </is>
      </c>
      <c r="H10" s="4" t="inlineStr">
        <is>
          <t>GET /api/v1/common/search/
POST /api/v1/common/search/open/</t>
        </is>
      </c>
      <c r="I10" s="4" t="inlineStr">
        <is>
          <t>Có dữ liệu tìm kiếm tại C1/C2/B1/B2; permission COM.SEARCH.USE được cấu hình theo case.</t>
        </is>
      </c>
      <c r="J10" s="4" t="inlineStr">
        <is>
          <t>q=anh duong; company=C1; branch=B1; page=1; page_size=20</t>
        </is>
      </c>
      <c r="K10" s="4" t="inlineStr">
        <is>
          <t>1. Chuẩn bị dữ liệu đúng mục 'Điều kiện trước' và ghi lại các ID ban đầu.
2. Đăng nhập bằng đúng actor/role và chọn company/branch theo điều kiện trước.
3. Thực hiện kịch bản: Không truyền company nhưng có current_company.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10" s="4" t="inlineStr">
        <is>
          <t>Dùng đúng current company; thiếu cả hai trả lỗi an toàn</t>
        </is>
      </c>
      <c r="M10" s="4" t="inlineStr">
        <is>
          <t>Không có dữ liệu ngoài tenant/scope trong item, preview hoặc count.</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COM10-08</t>
        </is>
      </c>
      <c r="C11" s="5" t="inlineStr">
        <is>
          <t>UC-COM-10</t>
        </is>
      </c>
      <c r="D11" s="5" t="inlineStr">
        <is>
          <t>Mở kết quả hợp lệ</t>
        </is>
      </c>
      <c r="E11" s="15" t="inlineStr">
        <is>
          <t>P0</t>
        </is>
      </c>
      <c r="F11" s="5" t="inlineStr">
        <is>
          <t>Functional</t>
        </is>
      </c>
      <c r="G11" s="5" t="inlineStr">
        <is>
          <t>API + UI/E2E</t>
        </is>
      </c>
      <c r="H11" s="5" t="inlineStr">
        <is>
          <t>GET /api/v1/common/search/
POST /api/v1/common/search/open/</t>
        </is>
      </c>
      <c r="I11" s="5" t="inlineStr">
        <is>
          <t>Có dữ liệu tìm kiếm tại C1/C2/B1/B2; permission COM.SEARCH.USE được cấu hình theo case.</t>
        </is>
      </c>
      <c r="J11" s="5" t="inlineStr">
        <is>
          <t>q=anh duong; company=C1; branch=B1; page=1; page_size=20</t>
        </is>
      </c>
      <c r="K11" s="5" t="inlineStr">
        <is>
          <t>1. Chuẩn bị dữ liệu đúng mục 'Điều kiện trước' và ghi lại các ID ban đầu.
2. Đăng nhập bằng đúng actor/role và chọn company/branch theo điều kiện trước.
3. Thực hiện kịch bản: Mở kết quả hợp lệ.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11" s="5" t="inlineStr">
        <is>
          <t>Re-check membership, permission, scope và trạng thái entity; trả link đích đúng</t>
        </is>
      </c>
      <c r="M11" s="5" t="inlineStr">
        <is>
          <t>Không có dữ liệu ngoài tenant/scope trong item, preview hoặc count.</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COM10-09</t>
        </is>
      </c>
      <c r="C12" s="4" t="inlineStr">
        <is>
          <t>UC-COM-10</t>
        </is>
      </c>
      <c r="D12" s="4" t="inlineStr">
        <is>
          <t>Permission bị thu hồi hoặc entity bị xóa/inactive sau search</t>
        </is>
      </c>
      <c r="E12" s="15" t="inlineStr">
        <is>
          <t>P0</t>
        </is>
      </c>
      <c r="F12" s="4" t="inlineStr">
        <is>
          <t>Security/Authorization</t>
        </is>
      </c>
      <c r="G12" s="4" t="inlineStr">
        <is>
          <t>API + Integration</t>
        </is>
      </c>
      <c r="H12" s="4" t="inlineStr">
        <is>
          <t>GET /api/v1/common/search/
POST /api/v1/common/search/open/</t>
        </is>
      </c>
      <c r="I12" s="4" t="inlineStr">
        <is>
          <t>Có dữ liệu tìm kiếm tại C1/C2/B1/B2; permission COM.SEARCH.USE được cấu hình theo case.</t>
        </is>
      </c>
      <c r="J12" s="4" t="inlineStr">
        <is>
          <t>q=anh duong; company=C1; branch=B1; page=1; page_size=20</t>
        </is>
      </c>
      <c r="K12" s="4" t="inlineStr">
        <is>
          <t>1. Chuẩn bị dữ liệu đúng mục 'Điều kiện trước' và ghi lại các ID ban đầu.
2. Đăng nhập bằng đúng actor/role và chọn company/branch theo điều kiện trước.
3. Thực hiện kịch bản: Permission bị thu hồi hoặc entity bị xóa/inactive sau search.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12" s="4" t="inlineStr">
        <is>
          <t>Open bị từ chối/cảnh báo phù hợp; không dùng quyền cache cũ</t>
        </is>
      </c>
      <c r="M12" s="4" t="inlineStr">
        <is>
          <t>Không có dữ liệu ngoài tenant/scope trong item, preview hoặc count.</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COM10-10</t>
        </is>
      </c>
      <c r="C13" s="5" t="inlineStr">
        <is>
          <t>UC-COM-10</t>
        </is>
      </c>
      <c r="D13" s="5" t="inlineStr">
        <is>
          <t>Thử SQL wildcard/injection/XSS payload trong q</t>
        </is>
      </c>
      <c r="E13" s="15" t="inlineStr">
        <is>
          <t>P0</t>
        </is>
      </c>
      <c r="F13" s="5" t="inlineStr">
        <is>
          <t>Security/Authorization</t>
        </is>
      </c>
      <c r="G13" s="5" t="inlineStr">
        <is>
          <t>API + Integration</t>
        </is>
      </c>
      <c r="H13" s="5" t="inlineStr">
        <is>
          <t>GET /api/v1/common/search/
POST /api/v1/common/search/open/</t>
        </is>
      </c>
      <c r="I13" s="5" t="inlineStr">
        <is>
          <t>Có dữ liệu tìm kiếm tại C1/C2/B1/B2; permission COM.SEARCH.USE được cấu hình theo case.</t>
        </is>
      </c>
      <c r="J13" s="5" t="inlineStr">
        <is>
          <t>q=anh duong; company=C1; branch=B1; page=1; page_size=20</t>
        </is>
      </c>
      <c r="K13" s="5" t="inlineStr">
        <is>
          <t>1. Chuẩn bị dữ liệu đúng mục 'Điều kiện trước' và ghi lại các ID ban đầu.
2. Đăng nhập bằng đúng actor/role và chọn company/branch theo điều kiện trước.
3. Thực hiện kịch bản: Thử SQL wildcard/injection/XSS payload trong q.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13" s="5" t="inlineStr">
        <is>
          <t>Không lỗi 5xx, không injection, output được encode tại UI</t>
        </is>
      </c>
      <c r="M13" s="5" t="inlineStr">
        <is>
          <t>Không có dữ liệu ngoài tenant/scope trong item, preview hoặc count.</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COM10-11</t>
        </is>
      </c>
      <c r="C14" s="4" t="inlineStr">
        <is>
          <t>UC-COM-10</t>
        </is>
      </c>
      <c r="D14" s="4" t="inlineStr">
        <is>
          <t>Đo latency với dữ liệu lớn và truy vấn không có kết quả</t>
        </is>
      </c>
      <c r="E14" s="19" t="inlineStr">
        <is>
          <t>P1</t>
        </is>
      </c>
      <c r="F14" s="4" t="inlineStr">
        <is>
          <t>Performance/Resilience</t>
        </is>
      </c>
      <c r="G14" s="4" t="inlineStr">
        <is>
          <t>API + Integration</t>
        </is>
      </c>
      <c r="H14" s="4" t="inlineStr">
        <is>
          <t>GET /api/v1/common/search/
POST /api/v1/common/search/open/</t>
        </is>
      </c>
      <c r="I14" s="4" t="inlineStr">
        <is>
          <t>Có dữ liệu tìm kiếm tại C1/C2/B1/B2; permission COM.SEARCH.USE được cấu hình theo case.</t>
        </is>
      </c>
      <c r="J14" s="4" t="inlineStr">
        <is>
          <t>q=anh duong; company=C1; branch=B1; page=1; page_size=20</t>
        </is>
      </c>
      <c r="K14" s="4" t="inlineStr">
        <is>
          <t>1. Chuẩn bị dữ liệu đúng mục 'Điều kiện trước' và ghi lại các ID ban đầu.
2. Đăng nhập bằng đúng actor/role và chọn company/branch theo điều kiện trước.
3. Thực hiện kịch bản: Đo latency với dữ liệu lớn và truy vấn không có kết quả.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14" s="4" t="inlineStr">
        <is>
          <t>Đạt SLA; response ổn định, không full-table payload</t>
        </is>
      </c>
      <c r="M14" s="4" t="inlineStr">
        <is>
          <t>Không có dữ liệu ngoài tenant/scope trong item, preview hoặc count.</t>
        </is>
      </c>
      <c r="N14" s="4" t="inlineStr"/>
      <c r="O14" s="16" t="inlineStr">
        <is>
          <t>Not Run</t>
        </is>
      </c>
      <c r="P14" s="4" t="inlineStr"/>
      <c r="Q14" s="4" t="inlineStr"/>
      <c r="R14" s="4" t="inlineStr"/>
      <c r="S14" s="4" t="inlineStr"/>
      <c r="T14" s="4" t="inlineStr"/>
      <c r="U14" s="4" t="inlineStr">
        <is>
          <t>Candidate</t>
        </is>
      </c>
      <c r="V14" s="4" t="inlineStr"/>
    </row>
  </sheetData>
  <autoFilter ref="A3:V14"/>
  <mergeCells count="2">
    <mergeCell ref="A2:V2"/>
    <mergeCell ref="A1:V1"/>
  </mergeCells>
  <conditionalFormatting sqref="O4:O14">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4" showDropDown="0" showInputMessage="0" showErrorMessage="0" allowBlank="1" type="list">
      <formula1>"Not Run,Pass,Fail,Blocked,N/A"</formula1>
    </dataValidation>
    <dataValidation sqref="P4:P14" showDropDown="0" showInputMessage="0" showErrorMessage="0" allowBlank="1" type="list">
      <formula1>"S1 Critical,S2 High,S3 Medium,S4 Low"</formula1>
    </dataValidation>
    <dataValidation sqref="U4:U14" showDropDown="0" showInputMessage="0" showErrorMessage="0" allowBlank="1" type="list">
      <formula1>"Manual,Automated,Candidate,Not Applicable"</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15"/>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UC-COM-11 – Xem việc cần xử lý</t>
        </is>
      </c>
    </row>
    <row r="2" ht="30" customHeight="1">
      <c r="A2" s="2" t="inlineStr">
        <is>
          <t>Nguồn: COMMON_SERVICES_TEST_PLAN.md | 12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COM11-01</t>
        </is>
      </c>
      <c r="C4" s="4" t="inlineStr">
        <is>
          <t>UC-COM-11</t>
        </is>
      </c>
      <c r="D4" s="4" t="inlineStr">
        <is>
          <t>Liệt kê work-item gán trực tiếp cho user</t>
        </is>
      </c>
      <c r="E4" s="19" t="inlineStr">
        <is>
          <t>P1</t>
        </is>
      </c>
      <c r="F4" s="4" t="inlineStr">
        <is>
          <t>Functional</t>
        </is>
      </c>
      <c r="G4" s="4" t="inlineStr">
        <is>
          <t>API + UI/E2E</t>
        </is>
      </c>
      <c r="H4" s="4" t="inlineStr">
        <is>
          <t>GET /api/v1/common/work-items/
GET /api/v1/common/work-items/count/
POST /api/v1/common/work-items/{id}/open/
GET /api/v1/common/work-items/{id}/history/</t>
        </is>
      </c>
      <c r="I4" s="4" t="inlineStr">
        <is>
          <t>Có W1–W6; assignment trực tiếp/theo role; due_at và permission theo case.</t>
        </is>
      </c>
      <c r="J4" s="4" t="inlineStr">
        <is>
          <t>work_items=W1–W6; company=C1; branch=B1</t>
        </is>
      </c>
      <c r="K4" s="4" t="inlineStr">
        <is>
          <t>1. Chuẩn bị dữ liệu đúng mục 'Điều kiện trước' và ghi lại các ID ban đầu.
2. Đăng nhập bằng đúng actor/role và chọn company/branch theo điều kiện trước.
3. Thực hiện kịch bản: Liệt kê work-item gán trực tiếp cho user.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4" s="4" t="inlineStr">
        <is>
          <t>Trả đúng company/scope/permission, phân trang chính xác</t>
        </is>
      </c>
      <c r="M4" s="4" t="inlineStr">
        <is>
          <t>Status, due_at, dedupe_key và history nhất quán.</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COM11-02</t>
        </is>
      </c>
      <c r="C5" s="5" t="inlineStr">
        <is>
          <t>UC-COM-11</t>
        </is>
      </c>
      <c r="D5" s="5" t="inlineStr">
        <is>
          <t>Work-item gán theo role của user</t>
        </is>
      </c>
      <c r="E5" s="19" t="inlineStr">
        <is>
          <t>P1</t>
        </is>
      </c>
      <c r="F5" s="5" t="inlineStr">
        <is>
          <t>Functional</t>
        </is>
      </c>
      <c r="G5" s="5" t="inlineStr">
        <is>
          <t>API + UI/E2E</t>
        </is>
      </c>
      <c r="H5" s="5" t="inlineStr">
        <is>
          <t>GET /api/v1/common/work-items/
GET /api/v1/common/work-items/count/
POST /api/v1/common/work-items/{id}/open/
GET /api/v1/common/work-items/{id}/history/</t>
        </is>
      </c>
      <c r="I5" s="5" t="inlineStr">
        <is>
          <t>Có W1–W6; assignment trực tiếp/theo role; due_at và permission theo case.</t>
        </is>
      </c>
      <c r="J5" s="5" t="inlineStr">
        <is>
          <t>work_items=W1–W6; company=C1; branch=B1</t>
        </is>
      </c>
      <c r="K5" s="5" t="inlineStr">
        <is>
          <t>1. Chuẩn bị dữ liệu đúng mục 'Điều kiện trước' và ghi lại các ID ban đầu.
2. Đăng nhập bằng đúng actor/role và chọn company/branch theo điều kiện trước.
3. Thực hiện kịch bản: Work-item gán theo role của user.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5" s="5" t="inlineStr">
        <is>
          <t>Hiển thị khi assignment hiệu lực; ẩn khi role hết hiệu lực/bị revoke</t>
        </is>
      </c>
      <c r="M5" s="5" t="inlineStr">
        <is>
          <t>Status, due_at, dedupe_key và history nhất quán.</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COM11-03</t>
        </is>
      </c>
      <c r="C6" s="4" t="inlineStr">
        <is>
          <t>UC-COM-11</t>
        </is>
      </c>
      <c r="D6" s="4" t="inlineStr">
        <is>
          <t>Item C2 hoặc branch ngoài scope</t>
        </is>
      </c>
      <c r="E6" s="15" t="inlineStr">
        <is>
          <t>P0</t>
        </is>
      </c>
      <c r="F6" s="4" t="inlineStr">
        <is>
          <t>Security/Authorization</t>
        </is>
      </c>
      <c r="G6" s="4" t="inlineStr">
        <is>
          <t>API + Integration</t>
        </is>
      </c>
      <c r="H6" s="4" t="inlineStr">
        <is>
          <t>GET /api/v1/common/work-items/
GET /api/v1/common/work-items/count/
POST /api/v1/common/work-items/{id}/open/
GET /api/v1/common/work-items/{id}/history/</t>
        </is>
      </c>
      <c r="I6" s="4" t="inlineStr">
        <is>
          <t>Có W1–W6; assignment trực tiếp/theo role; due_at và permission theo case.</t>
        </is>
      </c>
      <c r="J6" s="4" t="inlineStr">
        <is>
          <t>work_items=W1–W6; company=C1; branch=B1
Bổ sung: Dùng UUID hợp lệ nhưng thuộc C2 hoặc branch ngoài Data Scope</t>
        </is>
      </c>
      <c r="K6" s="4" t="inlineStr">
        <is>
          <t>1. Chuẩn bị dữ liệu đúng mục 'Điều kiện trước' và ghi lại các ID ban đầu.
2. Đăng nhập bằng đúng actor/role và chọn company/branch theo điều kiện trước.
3. Thực hiện kịch bản: Item C2 hoặc branch ngoài scope.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6" s="4" t="inlineStr">
        <is>
          <t>Không xuất hiện và không truy cập được bằng ID</t>
        </is>
      </c>
      <c r="M6" s="4" t="inlineStr">
        <is>
          <t>Status, due_at, dedupe_key và history nhất quán.</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COM11-04</t>
        </is>
      </c>
      <c r="C7" s="5" t="inlineStr">
        <is>
          <t>UC-COM-11</t>
        </is>
      </c>
      <c r="D7" s="5" t="inlineStr">
        <is>
          <t>Item PENDING/IN_PROGRESS quá due_at</t>
        </is>
      </c>
      <c r="E7" s="19" t="inlineStr">
        <is>
          <t>P1</t>
        </is>
      </c>
      <c r="F7" s="5" t="inlineStr">
        <is>
          <t>Functional</t>
        </is>
      </c>
      <c r="G7" s="5" t="inlineStr">
        <is>
          <t>API + UI/E2E</t>
        </is>
      </c>
      <c r="H7" s="5" t="inlineStr">
        <is>
          <t>GET /api/v1/common/work-items/
GET /api/v1/common/work-items/count/
POST /api/v1/common/work-items/{id}/open/
GET /api/v1/common/work-items/{id}/history/</t>
        </is>
      </c>
      <c r="I7" s="5" t="inlineStr">
        <is>
          <t>Có W1–W6; assignment trực tiếp/theo role; due_at và permission theo case.</t>
        </is>
      </c>
      <c r="J7" s="5" t="inlineStr">
        <is>
          <t>work_items=W1–W6; company=C1; branch=B1</t>
        </is>
      </c>
      <c r="K7" s="5" t="inlineStr">
        <is>
          <t>1. Chuẩn bị dữ liệu đúng mục 'Điều kiện trước' và ghi lại các ID ban đầu.
2. Đăng nhập bằng đúng actor/role và chọn company/branch theo điều kiện trước.
3. Thực hiện kịch bản: Item PENDING/IN_PROGRESS quá due_at.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7" s="5" t="inlineStr">
        <is>
          <t>Tự chuyển OVERDUE; tạo history đúng, không tạo lặp mỗi lần GET</t>
        </is>
      </c>
      <c r="M7" s="5" t="inlineStr">
        <is>
          <t>Status, due_at, dedupe_key và history nhất quán.</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COM11-05</t>
        </is>
      </c>
      <c r="C8" s="4" t="inlineStr">
        <is>
          <t>UC-COM-11</t>
        </is>
      </c>
      <c r="D8" s="4" t="inlineStr">
        <is>
          <t>Lọc task_type/status/priority/q/due_from/due_to</t>
        </is>
      </c>
      <c r="E8" s="19" t="inlineStr">
        <is>
          <t>P1</t>
        </is>
      </c>
      <c r="F8" s="4" t="inlineStr">
        <is>
          <t>Functional</t>
        </is>
      </c>
      <c r="G8" s="4" t="inlineStr">
        <is>
          <t>API + UI/E2E</t>
        </is>
      </c>
      <c r="H8" s="4" t="inlineStr">
        <is>
          <t>GET /api/v1/common/work-items/
GET /api/v1/common/work-items/count/
POST /api/v1/common/work-items/{id}/open/
GET /api/v1/common/work-items/{id}/history/</t>
        </is>
      </c>
      <c r="I8" s="4" t="inlineStr">
        <is>
          <t>Có W1–W6; assignment trực tiếp/theo role; due_at và permission theo case.</t>
        </is>
      </c>
      <c r="J8" s="4" t="inlineStr">
        <is>
          <t>work_items=W1–W6; company=C1; branch=B1</t>
        </is>
      </c>
      <c r="K8" s="4" t="inlineStr">
        <is>
          <t>1. Chuẩn bị dữ liệu đúng mục 'Điều kiện trước' và ghi lại các ID ban đầu.
2. Đăng nhập bằng đúng actor/role và chọn company/branch theo điều kiện trước.
3. Thực hiện kịch bản: Lọc task_type/status/priority/q/due_from/due_to.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8" s="4" t="inlineStr">
        <is>
          <t>Kết quả đúng giao của bộ lọc</t>
        </is>
      </c>
      <c r="M8" s="4" t="inlineStr">
        <is>
          <t>Status, due_at, dedupe_key và history nhất quán.</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COM11-06</t>
        </is>
      </c>
      <c r="C9" s="5" t="inlineStr">
        <is>
          <t>UC-COM-11</t>
        </is>
      </c>
      <c r="D9" s="5" t="inlineStr">
        <is>
          <t>Sắp xếp mặc định và theo due_at/created_at</t>
        </is>
      </c>
      <c r="E9" s="19" t="inlineStr">
        <is>
          <t>P1</t>
        </is>
      </c>
      <c r="F9" s="5" t="inlineStr">
        <is>
          <t>Functional</t>
        </is>
      </c>
      <c r="G9" s="5" t="inlineStr">
        <is>
          <t>API + UI/E2E</t>
        </is>
      </c>
      <c r="H9" s="5" t="inlineStr">
        <is>
          <t>GET /api/v1/common/work-items/
GET /api/v1/common/work-items/count/
POST /api/v1/common/work-items/{id}/open/
GET /api/v1/common/work-items/{id}/history/</t>
        </is>
      </c>
      <c r="I9" s="5" t="inlineStr">
        <is>
          <t>Có W1–W6; assignment trực tiếp/theo role; due_at và permission theo case.</t>
        </is>
      </c>
      <c r="J9" s="5" t="inlineStr">
        <is>
          <t>work_items=W1–W6; company=C1; branch=B1</t>
        </is>
      </c>
      <c r="K9" s="5" t="inlineStr">
        <is>
          <t>1. Chuẩn bị dữ liệu đúng mục 'Điều kiện trước' và ghi lại các ID ban đầu.
2. Đăng nhập bằng đúng actor/role và chọn company/branch theo điều kiện trước.
3. Thực hiện kịch bản: Sắp xếp mặc định và theo due_at/created_at.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9" s="5" t="inlineStr">
        <is>
          <t>OVERDUE trước; URGENT &gt; HIGH &gt; NORMAL; thứ tự ổn định</t>
        </is>
      </c>
      <c r="M9" s="5" t="inlineStr">
        <is>
          <t>Status, due_at, dedupe_key và history nhất quán.</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COM11-07</t>
        </is>
      </c>
      <c r="C10" s="4" t="inlineStr">
        <is>
          <t>UC-COM-11</t>
        </is>
      </c>
      <c r="D10" s="4" t="inlineStr">
        <is>
          <t>Count việc đang mở</t>
        </is>
      </c>
      <c r="E10" s="19" t="inlineStr">
        <is>
          <t>P1</t>
        </is>
      </c>
      <c r="F10" s="4" t="inlineStr">
        <is>
          <t>Functional</t>
        </is>
      </c>
      <c r="G10" s="4" t="inlineStr">
        <is>
          <t>API + UI/E2E</t>
        </is>
      </c>
      <c r="H10" s="4" t="inlineStr">
        <is>
          <t>GET /api/v1/common/work-items/
GET /api/v1/common/work-items/count/
POST /api/v1/common/work-items/{id}/open/
GET /api/v1/common/work-items/{id}/history/</t>
        </is>
      </c>
      <c r="I10" s="4" t="inlineStr">
        <is>
          <t>Có W1–W6; assignment trực tiếp/theo role; due_at và permission theo case.</t>
        </is>
      </c>
      <c r="J10" s="4" t="inlineStr">
        <is>
          <t>work_items=W1–W6; company=C1; branch=B1</t>
        </is>
      </c>
      <c r="K10" s="4" t="inlineStr">
        <is>
          <t>1. Chuẩn bị dữ liệu đúng mục 'Điều kiện trước' và ghi lại các ID ban đầu.
2. Đăng nhập bằng đúng actor/role và chọn company/branch theo điều kiện trước.
3. Thực hiện kịch bản: Count việc đang mở.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10" s="4" t="inlineStr">
        <is>
          <t>Chỉ đếm PENDING/IN_PROGRESS/OVERDUE trong phạm vi nhìn thấy</t>
        </is>
      </c>
      <c r="M10" s="4" t="inlineStr">
        <is>
          <t>Status, due_at, dedupe_key và history nhất quán.</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COM11-08</t>
        </is>
      </c>
      <c r="C11" s="5" t="inlineStr">
        <is>
          <t>UC-COM-11</t>
        </is>
      </c>
      <c r="D11" s="5" t="inlineStr">
        <is>
          <t>Open item hợp lệ</t>
        </is>
      </c>
      <c r="E11" s="15" t="inlineStr">
        <is>
          <t>P0</t>
        </is>
      </c>
      <c r="F11" s="5" t="inlineStr">
        <is>
          <t>Functional</t>
        </is>
      </c>
      <c r="G11" s="5" t="inlineStr">
        <is>
          <t>API + UI/E2E</t>
        </is>
      </c>
      <c r="H11" s="5" t="inlineStr">
        <is>
          <t>GET /api/v1/common/work-items/
GET /api/v1/common/work-items/count/
POST /api/v1/common/work-items/{id}/open/
GET /api/v1/common/work-items/{id}/history/</t>
        </is>
      </c>
      <c r="I11" s="5" t="inlineStr">
        <is>
          <t>Có W1–W6; assignment trực tiếp/theo role; due_at và permission theo case.</t>
        </is>
      </c>
      <c r="J11" s="5" t="inlineStr">
        <is>
          <t>work_items=W1–W6; company=C1; branch=B1</t>
        </is>
      </c>
      <c r="K11" s="5" t="inlineStr">
        <is>
          <t>1. Chuẩn bị dữ liệu đúng mục 'Điều kiện trước' và ghi lại các ID ban đầu.
2. Đăng nhập bằng đúng actor/role và chọn company/branch theo điều kiện trước.
3. Thực hiện kịch bản: Open item hợp lệ.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11" s="5" t="inlineStr">
        <is>
          <t>Re-check entity/permission/scope; chuyển sang IN_PROGRESS nếu phù hợp; trả link; ghi history</t>
        </is>
      </c>
      <c r="M11" s="5" t="inlineStr">
        <is>
          <t>Status, due_at, dedupe_key và history nhất quán.</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COM11-09</t>
        </is>
      </c>
      <c r="C12" s="4" t="inlineStr">
        <is>
          <t>UC-COM-11</t>
        </is>
      </c>
      <c r="D12" s="4" t="inlineStr">
        <is>
          <t>Entity không còn khả dụng hoặc permission bị thu hồi</t>
        </is>
      </c>
      <c r="E12" s="15" t="inlineStr">
        <is>
          <t>P0</t>
        </is>
      </c>
      <c r="F12" s="4" t="inlineStr">
        <is>
          <t>Security/Authorization</t>
        </is>
      </c>
      <c r="G12" s="4" t="inlineStr">
        <is>
          <t>API + Integration</t>
        </is>
      </c>
      <c r="H12" s="4" t="inlineStr">
        <is>
          <t>GET /api/v1/common/work-items/
GET /api/v1/common/work-items/count/
POST /api/v1/common/work-items/{id}/open/
GET /api/v1/common/work-items/{id}/history/</t>
        </is>
      </c>
      <c r="I12" s="4" t="inlineStr">
        <is>
          <t>Có W1–W6; assignment trực tiếp/theo role; due_at và permission theo case.</t>
        </is>
      </c>
      <c r="J12" s="4" t="inlineStr">
        <is>
          <t>work_items=W1–W6; company=C1; branch=B1</t>
        </is>
      </c>
      <c r="K12" s="4" t="inlineStr">
        <is>
          <t>1. Chuẩn bị dữ liệu đúng mục 'Điều kiện trước' và ghi lại các ID ban đầu.
2. Đăng nhập bằng đúng actor/role và chọn company/branch theo điều kiện trước.
3. Thực hiện kịch bản: Entity không còn khả dụng hoặc permission bị thu hồi.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12" s="4" t="inlineStr">
        <is>
          <t>Không mở; item được cancel/ẩn theo rule; không lộ link đích</t>
        </is>
      </c>
      <c r="M12" s="4" t="inlineStr">
        <is>
          <t>Status, due_at, dedupe_key và history nhất quán.</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COM11-10</t>
        </is>
      </c>
      <c r="C13" s="5" t="inlineStr">
        <is>
          <t>UC-COM-11</t>
        </is>
      </c>
      <c r="D13" s="5" t="inlineStr">
        <is>
          <t>Xem history</t>
        </is>
      </c>
      <c r="E13" s="19" t="inlineStr">
        <is>
          <t>P1</t>
        </is>
      </c>
      <c r="F13" s="5" t="inlineStr">
        <is>
          <t>Functional</t>
        </is>
      </c>
      <c r="G13" s="5" t="inlineStr">
        <is>
          <t>API + UI/E2E</t>
        </is>
      </c>
      <c r="H13" s="5" t="inlineStr">
        <is>
          <t>GET /api/v1/common/work-items/
GET /api/v1/common/work-items/count/
POST /api/v1/common/work-items/{id}/open/
GET /api/v1/common/work-items/{id}/history/</t>
        </is>
      </c>
      <c r="I13" s="5" t="inlineStr">
        <is>
          <t>Có W1–W6; assignment trực tiếp/theo role; due_at và permission theo case.</t>
        </is>
      </c>
      <c r="J13" s="5" t="inlineStr">
        <is>
          <t>work_items=W1–W6; company=C1; branch=B1</t>
        </is>
      </c>
      <c r="K13" s="5" t="inlineStr">
        <is>
          <t>1. Chuẩn bị dữ liệu đúng mục 'Điều kiện trước' và ghi lại các ID ban đầu.
2. Đăng nhập bằng đúng actor/role và chọn company/branch theo điều kiện trước.
3. Thực hiện kịch bản: Xem history.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13" s="5" t="inlineStr">
        <is>
          <t>Đúng thứ tự thời gian, trạng thái trước/sau, actor, reason; chỉ user được thấy item mới thấy history</t>
        </is>
      </c>
      <c r="M13" s="5" t="inlineStr">
        <is>
          <t>Status, due_at, dedupe_key và history nhất quán.</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COM11-11</t>
        </is>
      </c>
      <c r="C14" s="4" t="inlineStr">
        <is>
          <t>UC-COM-11</t>
        </is>
      </c>
      <c r="D14" s="4" t="inlineStr">
        <is>
          <t>Tạo cùng dedupe_key nhiều lần/đồng thời</t>
        </is>
      </c>
      <c r="E14" s="19" t="inlineStr">
        <is>
          <t>P1</t>
        </is>
      </c>
      <c r="F14" s="4" t="inlineStr">
        <is>
          <t>Concurrency/Idempotency</t>
        </is>
      </c>
      <c r="G14" s="4" t="inlineStr">
        <is>
          <t>Integration</t>
        </is>
      </c>
      <c r="H14" s="4" t="inlineStr">
        <is>
          <t>GET /api/v1/common/work-items/
GET /api/v1/common/work-items/count/
POST /api/v1/common/work-items/{id}/open/
GET /api/v1/common/work-items/{id}/history/</t>
        </is>
      </c>
      <c r="I14" s="4" t="inlineStr">
        <is>
          <t>Có W1–W6; assignment trực tiếp/theo role; due_at và permission theo case.</t>
        </is>
      </c>
      <c r="J14" s="4" t="inlineStr">
        <is>
          <t>work_items=W1–W6; company=C1; branch=B1
Bổ sung: Dùng hai client/worker gửi request cùng thời điểm</t>
        </is>
      </c>
      <c r="K14" s="4" t="inlineStr">
        <is>
          <t>1. Chuẩn bị dữ liệu đúng mục 'Điều kiện trước' và ghi lại các ID ban đầu.
2. Đăng nhập bằng đúng actor/role và chọn company/branch theo điều kiện trước.
3. Thực hiện kịch bản: Tạo cùng dedupe_key nhiều lần/đồng thời.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14" s="4" t="inlineStr">
        <is>
          <t>Chỉ một active work-item; không vi phạm unique/không lỗi 5xx</t>
        </is>
      </c>
      <c r="M14" s="4" t="inlineStr">
        <is>
          <t>Status, due_at, dedupe_key và history nhất quán.</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COM11-12</t>
        </is>
      </c>
      <c r="C15" s="5" t="inlineStr">
        <is>
          <t>UC-COM-11</t>
        </is>
      </c>
      <c r="D15" s="5" t="inlineStr">
        <is>
          <t>Chuyển trạng thái không hợp lệ, ví dụ OVERDUE → COMPLETED nếu rule cấm</t>
        </is>
      </c>
      <c r="E15" s="19" t="inlineStr">
        <is>
          <t>P1</t>
        </is>
      </c>
      <c r="F15" s="5" t="inlineStr">
        <is>
          <t>Functional</t>
        </is>
      </c>
      <c r="G15" s="5" t="inlineStr">
        <is>
          <t>API + UI/E2E</t>
        </is>
      </c>
      <c r="H15" s="5" t="inlineStr">
        <is>
          <t>GET /api/v1/common/work-items/
GET /api/v1/common/work-items/count/
POST /api/v1/common/work-items/{id}/open/
GET /api/v1/common/work-items/{id}/history/</t>
        </is>
      </c>
      <c r="I15" s="5" t="inlineStr">
        <is>
          <t>Có W1–W6; assignment trực tiếp/theo role; due_at và permission theo case.</t>
        </is>
      </c>
      <c r="J15" s="5" t="inlineStr">
        <is>
          <t>work_items=W1–W6; company=C1; branch=B1</t>
        </is>
      </c>
      <c r="K15" s="5" t="inlineStr">
        <is>
          <t>1. Chuẩn bị dữ liệu đúng mục 'Điều kiện trước' và ghi lại các ID ban đầu.
2. Đăng nhập bằng đúng actor/role và chọn company/branch theo điều kiện trước.
3. Thực hiện kịch bản: Chuyển trạng thái không hợp lệ, ví dụ OVERDUE → COMPLETED nếu rule cấm.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15" s="5" t="inlineStr">
        <is>
          <t>Bị từ chối; trạng thái/history không thay đổi</t>
        </is>
      </c>
      <c r="M15" s="5" t="inlineStr">
        <is>
          <t>Status, due_at, dedupe_key và history nhất quán.</t>
        </is>
      </c>
      <c r="N15" s="5" t="inlineStr"/>
      <c r="O15" s="18" t="inlineStr">
        <is>
          <t>Not Run</t>
        </is>
      </c>
      <c r="P15" s="5" t="inlineStr"/>
      <c r="Q15" s="5" t="inlineStr"/>
      <c r="R15" s="5" t="inlineStr"/>
      <c r="S15" s="5" t="inlineStr"/>
      <c r="T15" s="5" t="inlineStr"/>
      <c r="U15" s="5" t="inlineStr">
        <is>
          <t>Candidate</t>
        </is>
      </c>
      <c r="V15" s="5" t="inlineStr"/>
    </row>
  </sheetData>
  <autoFilter ref="A3:V15"/>
  <mergeCells count="2">
    <mergeCell ref="A2:V2"/>
    <mergeCell ref="A1:V1"/>
  </mergeCells>
  <conditionalFormatting sqref="O4:O15">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5" showDropDown="0" showInputMessage="0" showErrorMessage="0" allowBlank="1" type="list">
      <formula1>"Not Run,Pass,Fail,Blocked,N/A"</formula1>
    </dataValidation>
    <dataValidation sqref="P4:P15" showDropDown="0" showInputMessage="0" showErrorMessage="0" allowBlank="1" type="list">
      <formula1>"S1 Critical,S2 High,S3 Medium,S4 Low"</formula1>
    </dataValidation>
    <dataValidation sqref="U4:U15" showDropDown="0" showInputMessage="0" showErrorMessage="0" allowBlank="1" type="list">
      <formula1>"Manual,Automated,Candidate,Not Applicable"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9"/>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UC-COM-12 – Sử dụng AI Assistant</t>
        </is>
      </c>
    </row>
    <row r="2" ht="30" customHeight="1">
      <c r="A2" s="2" t="inlineStr">
        <is>
          <t>Nguồn: COMMON_SERVICES_TEST_PLAN.md | 16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COM12-01</t>
        </is>
      </c>
      <c r="C4" s="4" t="inlineStr">
        <is>
          <t>UC-COM-12</t>
        </is>
      </c>
      <c r="D4" s="4" t="inlineStr">
        <is>
          <t>User không có COM.AI.USE</t>
        </is>
      </c>
      <c r="E4" s="15" t="inlineStr">
        <is>
          <t>P0</t>
        </is>
      </c>
      <c r="F4" s="4" t="inlineStr">
        <is>
          <t>Functional</t>
        </is>
      </c>
      <c r="G4" s="4" t="inlineStr">
        <is>
          <t>API + UI/E2E</t>
        </is>
      </c>
      <c r="H4" s="4" t="inlineStr">
        <is>
          <t>GET|POST /api/v1/common/ai-conversations/
POST /api/v1/common/ai/query/
POST /api/v1/common/ai/{id}/{confirm|feedback}/
POST /api/v1/common/ai/{id}/source/{index}/</t>
        </is>
      </c>
      <c r="I4" s="4" t="inlineStr">
        <is>
          <t>Có COM.AI.USE theo case; chuẩn bị AI OFF/ON và provider stub success/error/timeout.</t>
        </is>
      </c>
      <c r="J4" s="4" t="inlineStr">
        <is>
          <t>question=Phân tích tình hình hiện tại; request_id=req-&lt;uuid&gt;; context có/không có dữ liệu nhạy cảm
Bổ sung: AI stub hỗ trợ success, timeout, HTTP 500, invalid JSON và oversized response</t>
        </is>
      </c>
      <c r="K4" s="4" t="inlineStr">
        <is>
          <t>1. Chuẩn bị dữ liệu đúng mục 'Điều kiện trước' và ghi lại các ID ban đầu.
2. Đăng nhập bằng đúng actor/role và chọn company/branch theo điều kiện trước.
3. Thực hiện kịch bản: User không có COM.AI.USE.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4" s="4" t="inlineStr">
        <is>
          <t>403; không gọi provider và không lưu dữ liệu nhạy cảm</t>
        </is>
      </c>
      <c r="M4" s="4" t="inlineStr">
        <is>
          <t>Không lưu/gửi secret; interaction, feedback, source và audit đúng ownership/scope.</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COM12-02</t>
        </is>
      </c>
      <c r="C5" s="5" t="inlineStr">
        <is>
          <t>UC-COM-12</t>
        </is>
      </c>
      <c r="D5" s="5" t="inlineStr">
        <is>
          <t>AI bị tắt ở company</t>
        </is>
      </c>
      <c r="E5" s="19" t="inlineStr">
        <is>
          <t>P1</t>
        </is>
      </c>
      <c r="F5" s="5" t="inlineStr">
        <is>
          <t>Functional</t>
        </is>
      </c>
      <c r="G5" s="5" t="inlineStr">
        <is>
          <t>API + UI/E2E</t>
        </is>
      </c>
      <c r="H5" s="5" t="inlineStr">
        <is>
          <t>GET|POST /api/v1/common/ai-conversations/
POST /api/v1/common/ai/query/
POST /api/v1/common/ai/{id}/{confirm|feedback}/
POST /api/v1/common/ai/{id}/source/{index}/</t>
        </is>
      </c>
      <c r="I5" s="5" t="inlineStr">
        <is>
          <t>Có COM.AI.USE theo case; chuẩn bị AI OFF/ON và provider stub success/error/timeout.</t>
        </is>
      </c>
      <c r="J5" s="5" t="inlineStr">
        <is>
          <t>question=Phân tích tình hình hiện tại; request_id=req-&lt;uuid&gt;; context có/không có dữ liệu nhạy cảm
Bổ sung: AI stub hỗ trợ success, timeout, HTTP 500, invalid JSON và oversized response</t>
        </is>
      </c>
      <c r="K5" s="5" t="inlineStr">
        <is>
          <t>1. Chuẩn bị dữ liệu đúng mục 'Điều kiện trước' và ghi lại các ID ban đầu.
2. Đăng nhập bằng đúng actor/role và chọn company/branch theo điều kiện trước.
3. Thực hiện kịch bản: AI bị tắt ở company.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5" s="5" t="inlineStr">
        <is>
          <t>503, status UNAVAILABLE, có hướng dẫn dùng chức năng thủ công</t>
        </is>
      </c>
      <c r="M5" s="5" t="inlineStr">
        <is>
          <t>Không lưu/gửi secret; interaction, feedback, source và audit đúng ownership/scope.</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COM12-03</t>
        </is>
      </c>
      <c r="C6" s="4" t="inlineStr">
        <is>
          <t>UC-COM-12</t>
        </is>
      </c>
      <c r="D6" s="4" t="inlineStr">
        <is>
          <t>AI bật nhưng dữ liệu trong scope không đủ</t>
        </is>
      </c>
      <c r="E6" s="19" t="inlineStr">
        <is>
          <t>P1</t>
        </is>
      </c>
      <c r="F6" s="4" t="inlineStr">
        <is>
          <t>Security/Authorization</t>
        </is>
      </c>
      <c r="G6" s="4" t="inlineStr">
        <is>
          <t>API + Integration</t>
        </is>
      </c>
      <c r="H6" s="4" t="inlineStr">
        <is>
          <t>GET|POST /api/v1/common/ai-conversations/
POST /api/v1/common/ai/query/
POST /api/v1/common/ai/{id}/{confirm|feedback}/
POST /api/v1/common/ai/{id}/source/{index}/</t>
        </is>
      </c>
      <c r="I6" s="4" t="inlineStr">
        <is>
          <t>Có COM.AI.USE theo case; chuẩn bị AI OFF/ON và provider stub success/error/timeout.</t>
        </is>
      </c>
      <c r="J6" s="4" t="inlineStr">
        <is>
          <t>question=Phân tích tình hình hiện tại; request_id=req-&lt;uuid&gt;; context có/không có dữ liệu nhạy cảm
Bổ sung: AI stub hỗ trợ success, timeout, HTTP 500, invalid JSON và oversized response</t>
        </is>
      </c>
      <c r="K6" s="4" t="inlineStr">
        <is>
          <t>1. Chuẩn bị dữ liệu đúng mục 'Điều kiện trước' và ghi lại các ID ban đầu.
2. Đăng nhập bằng đúng actor/role và chọn company/branch theo điều kiện trước.
3. Thực hiện kịch bản: AI bật nhưng dữ liệu trong scope không đủ.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6" s="4" t="inlineStr">
        <is>
          <t>201, status INSUFFICIENT_DATA, không bịa nguồn/kết luận</t>
        </is>
      </c>
      <c r="M6" s="4" t="inlineStr">
        <is>
          <t>Không lưu/gửi secret; interaction, feedback, source và audit đúng ownership/scope.</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COM12-04</t>
        </is>
      </c>
      <c r="C7" s="5" t="inlineStr">
        <is>
          <t>UC-COM-12</t>
        </is>
      </c>
      <c r="D7" s="5" t="inlineStr">
        <is>
          <t>Tạo conversation hợp lệ theo company/branch</t>
        </is>
      </c>
      <c r="E7" s="19" t="inlineStr">
        <is>
          <t>P1</t>
        </is>
      </c>
      <c r="F7" s="5" t="inlineStr">
        <is>
          <t>Functional</t>
        </is>
      </c>
      <c r="G7" s="5" t="inlineStr">
        <is>
          <t>API + UI/E2E</t>
        </is>
      </c>
      <c r="H7" s="5" t="inlineStr">
        <is>
          <t>GET|POST /api/v1/common/ai-conversations/
POST /api/v1/common/ai/query/
POST /api/v1/common/ai/{id}/{confirm|feedback}/
POST /api/v1/common/ai/{id}/source/{index}/</t>
        </is>
      </c>
      <c r="I7" s="5" t="inlineStr">
        <is>
          <t>Có COM.AI.USE theo case; chuẩn bị AI OFF/ON và provider stub success/error/timeout.</t>
        </is>
      </c>
      <c r="J7" s="5" t="inlineStr">
        <is>
          <t>question=Phân tích tình hình hiện tại; request_id=req-&lt;uuid&gt;; context có/không có dữ liệu nhạy cảm</t>
        </is>
      </c>
      <c r="K7" s="5" t="inlineStr">
        <is>
          <t>1. Chuẩn bị dữ liệu đúng mục 'Điều kiện trước' và ghi lại các ID ban đầu.
2. Đăng nhập bằng đúng actor/role và chọn company/branch theo điều kiện trước.
3. Thực hiện kịch bản: Tạo conversation hợp lệ theo company/branch.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7" s="5" t="inlineStr">
        <is>
          <t>201; owner là user hiện tại; branch phải ACTIVE và thuộc company/scope</t>
        </is>
      </c>
      <c r="M7" s="5" t="inlineStr">
        <is>
          <t>Không lưu/gửi secret; interaction, feedback, source và audit đúng ownership/scope.</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COM12-05</t>
        </is>
      </c>
      <c r="C8" s="4" t="inlineStr">
        <is>
          <t>UC-COM-12</t>
        </is>
      </c>
      <c r="D8" s="4" t="inlineStr">
        <is>
          <t>Xem conversation/interaction của user khác hoặc C2</t>
        </is>
      </c>
      <c r="E8" s="15" t="inlineStr">
        <is>
          <t>P0</t>
        </is>
      </c>
      <c r="F8" s="4" t="inlineStr">
        <is>
          <t>Security/Authorization</t>
        </is>
      </c>
      <c r="G8" s="4" t="inlineStr">
        <is>
          <t>API + Integration</t>
        </is>
      </c>
      <c r="H8" s="4" t="inlineStr">
        <is>
          <t>GET|POST /api/v1/common/ai-conversations/
POST /api/v1/common/ai/query/
POST /api/v1/common/ai/{id}/{confirm|feedback}/
POST /api/v1/common/ai/{id}/source/{index}/</t>
        </is>
      </c>
      <c r="I8" s="4" t="inlineStr">
        <is>
          <t>Có COM.AI.USE theo case; chuẩn bị AI OFF/ON và provider stub success/error/timeout.</t>
        </is>
      </c>
      <c r="J8" s="4" t="inlineStr">
        <is>
          <t>question=Phân tích tình hình hiện tại; request_id=req-&lt;uuid&gt;; context có/không có dữ liệu nhạy cảm
Bổ sung: Dùng UUID hợp lệ nhưng thuộc C2 hoặc branch ngoài Data Scope</t>
        </is>
      </c>
      <c r="K8" s="4" t="inlineStr">
        <is>
          <t>1. Chuẩn bị dữ liệu đúng mục 'Điều kiện trước' và ghi lại các ID ban đầu.
2. Đăng nhập bằng đúng actor/role và chọn company/branch theo điều kiện trước.
3. Thực hiện kịch bản: Xem conversation/interaction của user khác hoặc C2.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8" s="4" t="inlineStr">
        <is>
          <t>404/403; không lộ question/context/answer/source</t>
        </is>
      </c>
      <c r="M8" s="4" t="inlineStr">
        <is>
          <t>Không lưu/gửi secret; interaction, feedback, source và audit đúng ownership/scope.</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COM12-06</t>
        </is>
      </c>
      <c r="C9" s="5" t="inlineStr">
        <is>
          <t>UC-COM-12</t>
        </is>
      </c>
      <c r="D9" s="5" t="inlineStr">
        <is>
          <t>Query hợp lệ theo LOOKUP/EXPLAIN/ANALYSIS/GUIDANCE</t>
        </is>
      </c>
      <c r="E9" s="19" t="inlineStr">
        <is>
          <t>P1</t>
        </is>
      </c>
      <c r="F9" s="5" t="inlineStr">
        <is>
          <t>UI/Validation</t>
        </is>
      </c>
      <c r="G9" s="5" t="inlineStr">
        <is>
          <t>UI + API</t>
        </is>
      </c>
      <c r="H9" s="5" t="inlineStr">
        <is>
          <t>GET|POST /api/v1/common/ai-conversations/
POST /api/v1/common/ai/query/
POST /api/v1/common/ai/{id}/{confirm|feedback}/
POST /api/v1/common/ai/{id}/source/{index}/</t>
        </is>
      </c>
      <c r="I9" s="5" t="inlineStr">
        <is>
          <t>Có COM.AI.USE theo case; chuẩn bị AI OFF/ON và provider stub success/error/timeout.</t>
        </is>
      </c>
      <c r="J9" s="5" t="inlineStr">
        <is>
          <t>question=Phân tích tình hình hiện tại; request_id=req-&lt;uuid&gt;; context có/không có dữ liệu nhạy cảm
Bổ sung: AI stub hỗ trợ success, timeout, HTTP 500, invalid JSON và oversized response</t>
        </is>
      </c>
      <c r="K9" s="5" t="inlineStr">
        <is>
          <t>1. Chuẩn bị dữ liệu đúng mục 'Điều kiện trước' và ghi lại các ID ban đầu.
2. Đăng nhập bằng đúng actor/role và chọn company/branch theo điều kiện trước.
3. Thực hiện kịch bản: Query hợp lệ theo LOOKUP/EXPLAIN/ANALYSIS/GUIDANCE.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9" s="5" t="inlineStr">
        <is>
          <t>Provider nhận context đã lọc; lưu type, scope snapshot, processing time, disclaimer</t>
        </is>
      </c>
      <c r="M9" s="5" t="inlineStr">
        <is>
          <t>Không lưu/gửi secret; interaction, feedback, source và audit đúng ownership/scope.</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COM12-07</t>
        </is>
      </c>
      <c r="C10" s="4" t="inlineStr">
        <is>
          <t>UC-COM-12</t>
        </is>
      </c>
      <c r="D10" s="4" t="inlineStr">
        <is>
          <t>Context chứa password/token/secret hoặc dữ liệu ngoài scope</t>
        </is>
      </c>
      <c r="E10" s="15" t="inlineStr">
        <is>
          <t>P0</t>
        </is>
      </c>
      <c r="F10" s="4" t="inlineStr">
        <is>
          <t>Security/Authorization</t>
        </is>
      </c>
      <c r="G10" s="4" t="inlineStr">
        <is>
          <t>API + Integration</t>
        </is>
      </c>
      <c r="H10" s="4" t="inlineStr">
        <is>
          <t>GET|POST /api/v1/common/ai-conversations/
POST /api/v1/common/ai/query/
POST /api/v1/common/ai/{id}/{confirm|feedback}/
POST /api/v1/common/ai/{id}/source/{index}/</t>
        </is>
      </c>
      <c r="I10" s="4" t="inlineStr">
        <is>
          <t>Có COM.AI.USE theo case; chuẩn bị AI OFF/ON và provider stub success/error/timeout.</t>
        </is>
      </c>
      <c r="J10" s="4" t="inlineStr">
        <is>
          <t>question=Phân tích tình hình hiện tại; request_id=req-&lt;uuid&gt;; context có/không có dữ liệu nhạy cảm
Bổ sung: Dùng UUID hợp lệ nhưng thuộc C2 hoặc branch ngoài Data Scope</t>
        </is>
      </c>
      <c r="K10" s="4" t="inlineStr">
        <is>
          <t>1. Chuẩn bị dữ liệu đúng mục 'Điều kiện trước' và ghi lại các ID ban đầu.
2. Đăng nhập bằng đúng actor/role và chọn company/branch theo điều kiện trước.
3. Thực hiện kịch bản: Context chứa password/token/secret hoặc dữ liệu ngoài scope.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0" s="4" t="inlineStr">
        <is>
          <t>Giá trị nhạy cảm được [REDACTED]; dữ liệu ngoài scope không gửi provider</t>
        </is>
      </c>
      <c r="M10" s="4" t="inlineStr">
        <is>
          <t>Không lưu/gửi secret; interaction, feedback, source và audit đúng ownership/scope.</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COM12-08</t>
        </is>
      </c>
      <c r="C11" s="5" t="inlineStr">
        <is>
          <t>UC-COM-12</t>
        </is>
      </c>
      <c r="D11" s="5" t="inlineStr">
        <is>
          <t>Prompt injection yêu cầu bỏ qua quyền hoặc truy xuất C2</t>
        </is>
      </c>
      <c r="E11" s="15" t="inlineStr">
        <is>
          <t>P0</t>
        </is>
      </c>
      <c r="F11" s="5" t="inlineStr">
        <is>
          <t>Security/Authorization</t>
        </is>
      </c>
      <c r="G11" s="5" t="inlineStr">
        <is>
          <t>API + Integration</t>
        </is>
      </c>
      <c r="H11" s="5" t="inlineStr">
        <is>
          <t>GET|POST /api/v1/common/ai-conversations/
POST /api/v1/common/ai/query/
POST /api/v1/common/ai/{id}/{confirm|feedback}/
POST /api/v1/common/ai/{id}/source/{index}/</t>
        </is>
      </c>
      <c r="I11" s="5" t="inlineStr">
        <is>
          <t>Có COM.AI.USE theo case; chuẩn bị AI OFF/ON và provider stub success/error/timeout.</t>
        </is>
      </c>
      <c r="J11" s="5" t="inlineStr">
        <is>
          <t>question=Phân tích tình hình hiện tại; request_id=req-&lt;uuid&gt;; context có/không có dữ liệu nhạy cảm
Bổ sung: Dùng UUID hợp lệ nhưng thuộc C2 hoặc branch ngoài Data Scope</t>
        </is>
      </c>
      <c r="K11" s="5" t="inlineStr">
        <is>
          <t>1. Chuẩn bị dữ liệu đúng mục 'Điều kiện trước' và ghi lại các ID ban đầu.
2. Đăng nhập bằng đúng actor/role và chọn company/branch theo điều kiện trước.
3. Thực hiện kịch bản: Prompt injection yêu cầu bỏ qua quyền hoặc truy xuất C2.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1" s="5" t="inlineStr">
        <is>
          <t>Không vượt Permission/Data Scope; câu trả lời không lộ dữ liệu</t>
        </is>
      </c>
      <c r="M11" s="5" t="inlineStr">
        <is>
          <t>Không lưu/gửi secret; interaction, feedback, source và audit đúng ownership/scope.</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COM12-09</t>
        </is>
      </c>
      <c r="C12" s="4" t="inlineStr">
        <is>
          <t>UC-COM-12</t>
        </is>
      </c>
      <c r="D12" s="4" t="inlineStr">
        <is>
          <t>Gửi lại cùng request_id</t>
        </is>
      </c>
      <c r="E12" s="19" t="inlineStr">
        <is>
          <t>P1</t>
        </is>
      </c>
      <c r="F12" s="4" t="inlineStr">
        <is>
          <t>Functional</t>
        </is>
      </c>
      <c r="G12" s="4" t="inlineStr">
        <is>
          <t>API + UI/E2E</t>
        </is>
      </c>
      <c r="H12" s="4" t="inlineStr">
        <is>
          <t>GET|POST /api/v1/common/ai-conversations/
POST /api/v1/common/ai/query/
POST /api/v1/common/ai/{id}/{confirm|feedback}/
POST /api/v1/common/ai/{id}/source/{index}/</t>
        </is>
      </c>
      <c r="I12" s="4" t="inlineStr">
        <is>
          <t>Có COM.AI.USE theo case; chuẩn bị AI OFF/ON và provider stub success/error/timeout.</t>
        </is>
      </c>
      <c r="J12" s="4" t="inlineStr">
        <is>
          <t>question=Phân tích tình hình hiện tại; request_id=req-&lt;uuid&gt;; context có/không có dữ liệu nhạy cảm</t>
        </is>
      </c>
      <c r="K12" s="4" t="inlineStr">
        <is>
          <t>1. Chuẩn bị dữ liệu đúng mục 'Điều kiện trước' và ghi lại các ID ban đầu.
2. Đăng nhập bằng đúng actor/role và chọn company/branch theo điều kiện trước.
3. Thực hiện kịch bản: Gửi lại cùng request_id.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2" s="4" t="inlineStr">
        <is>
          <t>Idempotent, trả interaction cũ; provider không bị gọi hai lần</t>
        </is>
      </c>
      <c r="M12" s="4" t="inlineStr">
        <is>
          <t>Không lưu/gửi secret; interaction, feedback, source và audit đúng ownership/scope.</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COM12-10</t>
        </is>
      </c>
      <c r="C13" s="5" t="inlineStr">
        <is>
          <t>UC-COM-12</t>
        </is>
      </c>
      <c r="D13" s="5" t="inlineStr">
        <is>
          <t>conversation/parent không thuộc user hoặc không tương thích</t>
        </is>
      </c>
      <c r="E13" s="19" t="inlineStr">
        <is>
          <t>P1</t>
        </is>
      </c>
      <c r="F13" s="5" t="inlineStr">
        <is>
          <t>Functional</t>
        </is>
      </c>
      <c r="G13" s="5" t="inlineStr">
        <is>
          <t>API + UI/E2E</t>
        </is>
      </c>
      <c r="H13" s="5" t="inlineStr">
        <is>
          <t>GET|POST /api/v1/common/ai-conversations/
POST /api/v1/common/ai/query/
POST /api/v1/common/ai/{id}/{confirm|feedback}/
POST /api/v1/common/ai/{id}/source/{index}/</t>
        </is>
      </c>
      <c r="I13" s="5" t="inlineStr">
        <is>
          <t>Có COM.AI.USE theo case; chuẩn bị AI OFF/ON và provider stub success/error/timeout.</t>
        </is>
      </c>
      <c r="J13" s="5" t="inlineStr">
        <is>
          <t>question=Phân tích tình hình hiện tại; request_id=req-&lt;uuid&gt;; context có/không có dữ liệu nhạy cảm</t>
        </is>
      </c>
      <c r="K13" s="5" t="inlineStr">
        <is>
          <t>1. Chuẩn bị dữ liệu đúng mục 'Điều kiện trước' và ghi lại các ID ban đầu.
2. Đăng nhập bằng đúng actor/role và chọn company/branch theo điều kiện trước.
3. Thực hiện kịch bản: conversation/parent không thuộc user hoặc không tương thích.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3" s="5" t="inlineStr">
        <is>
          <t>400/403; không nối sai chuỗi hội thoại</t>
        </is>
      </c>
      <c r="M13" s="5" t="inlineStr">
        <is>
          <t>Không lưu/gửi secret; interaction, feedback, source và audit đúng ownership/scope.</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COM12-11</t>
        </is>
      </c>
      <c r="C14" s="4" t="inlineStr">
        <is>
          <t>UC-COM-12</t>
        </is>
      </c>
      <c r="D14" s="4" t="inlineStr">
        <is>
          <t>Provider timeout, HTTP lỗi, JSON sai hoặc response quá lớn</t>
        </is>
      </c>
      <c r="E14" s="19" t="inlineStr">
        <is>
          <t>P1</t>
        </is>
      </c>
      <c r="F14" s="4" t="inlineStr">
        <is>
          <t>Performance/Resilience</t>
        </is>
      </c>
      <c r="G14" s="4" t="inlineStr">
        <is>
          <t>API + Integration</t>
        </is>
      </c>
      <c r="H14" s="4" t="inlineStr">
        <is>
          <t>GET|POST /api/v1/common/ai-conversations/
POST /api/v1/common/ai/query/
POST /api/v1/common/ai/{id}/{confirm|feedback}/
POST /api/v1/common/ai/{id}/source/{index}/</t>
        </is>
      </c>
      <c r="I14" s="4" t="inlineStr">
        <is>
          <t>Có COM.AI.USE theo case; chuẩn bị AI OFF/ON và provider stub success/error/timeout.</t>
        </is>
      </c>
      <c r="J14" s="4" t="inlineStr">
        <is>
          <t>question=Phân tích tình hình hiện tại; request_id=req-&lt;uuid&gt;; context có/không có dữ liệu nhạy cảm
Bổ sung: AI stub hỗ trợ success, timeout, HTTP 500, invalid JSON và oversized response</t>
        </is>
      </c>
      <c r="K14" s="4" t="inlineStr">
        <is>
          <t>1. Chuẩn bị dữ liệu đúng mục 'Điều kiện trước' và ghi lại các ID ban đầu.
2. Đăng nhập bằng đúng actor/role và chọn company/branch theo điều kiện trước.
3. Thực hiện kịch bản: Provider timeout, HTTP lỗi, JSON sai hoặc response quá lớn.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4" s="4" t="inlineStr">
        <is>
          <t>503, status UNAVAILABLE, thông báo fallback; không lỗi 5xx không kiểm soát</t>
        </is>
      </c>
      <c r="M14" s="4" t="inlineStr">
        <is>
          <t>Không lưu/gửi secret; interaction, feedback, source và audit đúng ownership/scope.</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COM12-12</t>
        </is>
      </c>
      <c r="C15" s="5" t="inlineStr">
        <is>
          <t>UC-COM-12</t>
        </is>
      </c>
      <c r="D15" s="5" t="inlineStr">
        <is>
          <t>Confirm interaction COMPLETED</t>
        </is>
      </c>
      <c r="E15" s="19" t="inlineStr">
        <is>
          <t>P1</t>
        </is>
      </c>
      <c r="F15" s="5" t="inlineStr">
        <is>
          <t>Functional</t>
        </is>
      </c>
      <c r="G15" s="5" t="inlineStr">
        <is>
          <t>API + UI/E2E</t>
        </is>
      </c>
      <c r="H15" s="5" t="inlineStr">
        <is>
          <t>GET|POST /api/v1/common/ai-conversations/
POST /api/v1/common/ai/query/
POST /api/v1/common/ai/{id}/{confirm|feedback}/
POST /api/v1/common/ai/{id}/source/{index}/</t>
        </is>
      </c>
      <c r="I15" s="5" t="inlineStr">
        <is>
          <t>Có COM.AI.USE theo case; chuẩn bị AI OFF/ON và provider stub success/error/timeout.</t>
        </is>
      </c>
      <c r="J15" s="5" t="inlineStr">
        <is>
          <t>question=Phân tích tình hình hiện tại; request_id=req-&lt;uuid&gt;; context có/không có dữ liệu nhạy cảm</t>
        </is>
      </c>
      <c r="K15" s="5" t="inlineStr">
        <is>
          <t>1. Chuẩn bị dữ liệu đúng mục 'Điều kiện trước' và ghi lại các ID ban đầu.
2. Đăng nhập bằng đúng actor/role và chọn company/branch theo điều kiện trước.
3. Thực hiện kịch bản: Confirm interaction COMPLETED.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5" s="5" t="inlineStr">
        <is>
          <t>Set confirmed_at; interaction không completed bị từ chối</t>
        </is>
      </c>
      <c r="M15" s="5" t="inlineStr">
        <is>
          <t>Không lưu/gửi secret; interaction, feedback, source và audit đúng ownership/scope.</t>
        </is>
      </c>
      <c r="N15" s="5" t="inlineStr"/>
      <c r="O15" s="18" t="inlineStr">
        <is>
          <t>Not Run</t>
        </is>
      </c>
      <c r="P15" s="5" t="inlineStr"/>
      <c r="Q15" s="5" t="inlineStr"/>
      <c r="R15" s="5" t="inlineStr"/>
      <c r="S15" s="5" t="inlineStr"/>
      <c r="T15" s="5" t="inlineStr"/>
      <c r="U15" s="5" t="inlineStr">
        <is>
          <t>Candidate</t>
        </is>
      </c>
      <c r="V15" s="5" t="inlineStr"/>
    </row>
    <row r="16" ht="132" customHeight="1">
      <c r="A16" s="4" t="n">
        <v>13</v>
      </c>
      <c r="B16" s="14" t="inlineStr">
        <is>
          <t>COM12-13</t>
        </is>
      </c>
      <c r="C16" s="4" t="inlineStr">
        <is>
          <t>UC-COM-12</t>
        </is>
      </c>
      <c r="D16" s="4" t="inlineStr">
        <is>
          <t>Gửi/cập nhật feedback helpful và comment</t>
        </is>
      </c>
      <c r="E16" s="19" t="inlineStr">
        <is>
          <t>P1</t>
        </is>
      </c>
      <c r="F16" s="4" t="inlineStr">
        <is>
          <t>Functional</t>
        </is>
      </c>
      <c r="G16" s="4" t="inlineStr">
        <is>
          <t>API + UI/E2E</t>
        </is>
      </c>
      <c r="H16" s="4" t="inlineStr">
        <is>
          <t>GET|POST /api/v1/common/ai-conversations/
POST /api/v1/common/ai/query/
POST /api/v1/common/ai/{id}/{confirm|feedback}/
POST /api/v1/common/ai/{id}/source/{index}/</t>
        </is>
      </c>
      <c r="I16" s="4" t="inlineStr">
        <is>
          <t>Có COM.AI.USE theo case; chuẩn bị AI OFF/ON và provider stub success/error/timeout.</t>
        </is>
      </c>
      <c r="J16" s="4" t="inlineStr">
        <is>
          <t>question=Phân tích tình hình hiện tại; request_id=req-&lt;uuid&gt;; context có/không có dữ liệu nhạy cảm</t>
        </is>
      </c>
      <c r="K16" s="4" t="inlineStr">
        <is>
          <t>1. Chuẩn bị dữ liệu đúng mục 'Điều kiện trước' và ghi lại các ID ban đầu.
2. Đăng nhập bằng đúng actor/role và chọn company/branch theo điều kiện trước.
3. Thực hiện kịch bản: Gửi/cập nhật feedback helpful và comment.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6" s="4" t="inlineStr">
        <is>
          <t>Upsert đúng một feedback/interaction/user; comment tối đa 1000</t>
        </is>
      </c>
      <c r="M16" s="4" t="inlineStr">
        <is>
          <t>Không lưu/gửi secret; interaction, feedback, source và audit đúng ownership/scope.</t>
        </is>
      </c>
      <c r="N16" s="4" t="inlineStr"/>
      <c r="O16" s="16" t="inlineStr">
        <is>
          <t>Not Run</t>
        </is>
      </c>
      <c r="P16" s="4" t="inlineStr"/>
      <c r="Q16" s="4" t="inlineStr"/>
      <c r="R16" s="4" t="inlineStr"/>
      <c r="S16" s="4" t="inlineStr"/>
      <c r="T16" s="4" t="inlineStr"/>
      <c r="U16" s="4" t="inlineStr">
        <is>
          <t>Candidate</t>
        </is>
      </c>
      <c r="V16" s="4" t="inlineStr"/>
    </row>
    <row r="17" ht="132" customHeight="1">
      <c r="A17" s="5" t="n">
        <v>14</v>
      </c>
      <c r="B17" s="17" t="inlineStr">
        <is>
          <t>COM12-14</t>
        </is>
      </c>
      <c r="C17" s="5" t="inlineStr">
        <is>
          <t>UC-COM-12</t>
        </is>
      </c>
      <c r="D17" s="5" t="inlineStr">
        <is>
          <t>Mở source index hợp lệ/không hợp lệ hoặc source ngoài quyền</t>
        </is>
      </c>
      <c r="E17" s="15" t="inlineStr">
        <is>
          <t>P0</t>
        </is>
      </c>
      <c r="F17" s="5" t="inlineStr">
        <is>
          <t>Security/Authorization</t>
        </is>
      </c>
      <c r="G17" s="5" t="inlineStr">
        <is>
          <t>API + Integration</t>
        </is>
      </c>
      <c r="H17" s="5" t="inlineStr">
        <is>
          <t>GET|POST /api/v1/common/ai-conversations/
POST /api/v1/common/ai/query/
POST /api/v1/common/ai/{id}/{confirm|feedback}/
POST /api/v1/common/ai/{id}/source/{index}/</t>
        </is>
      </c>
      <c r="I17" s="5" t="inlineStr">
        <is>
          <t>Có COM.AI.USE theo case; chuẩn bị AI OFF/ON và provider stub success/error/timeout.</t>
        </is>
      </c>
      <c r="J17" s="5" t="inlineStr">
        <is>
          <t>question=Phân tích tình hình hiện tại; request_id=req-&lt;uuid&gt;; context có/không có dữ liệu nhạy cảm</t>
        </is>
      </c>
      <c r="K17" s="5" t="inlineStr">
        <is>
          <t>1. Chuẩn bị dữ liệu đúng mục 'Điều kiện trước' và ghi lại các ID ban đầu.
2. Đăng nhập bằng đúng actor/role và chọn company/branch theo điều kiện trước.
3. Thực hiện kịch bản: Mở source index hợp lệ/không hợp lệ hoặc source ngoài quyền.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7" s="5" t="inlineStr">
        <is>
          <t>Chỉ mở nguồn còn được phép; index sai trả 400/404</t>
        </is>
      </c>
      <c r="M17" s="5" t="inlineStr">
        <is>
          <t>Không lưu/gửi secret; interaction, feedback, source và audit đúng ownership/scope.</t>
        </is>
      </c>
      <c r="N17" s="5" t="inlineStr"/>
      <c r="O17" s="18" t="inlineStr">
        <is>
          <t>Not Run</t>
        </is>
      </c>
      <c r="P17" s="5" t="inlineStr"/>
      <c r="Q17" s="5" t="inlineStr"/>
      <c r="R17" s="5" t="inlineStr"/>
      <c r="S17" s="5" t="inlineStr"/>
      <c r="T17" s="5" t="inlineStr"/>
      <c r="U17" s="5" t="inlineStr">
        <is>
          <t>Candidate</t>
        </is>
      </c>
      <c r="V17" s="5" t="inlineStr"/>
    </row>
    <row r="18" ht="132" customHeight="1">
      <c r="A18" s="4" t="n">
        <v>15</v>
      </c>
      <c r="B18" s="14" t="inlineStr">
        <is>
          <t>COM12-15</t>
        </is>
      </c>
      <c r="C18" s="4" t="inlineStr">
        <is>
          <t>UC-COM-12</t>
        </is>
      </c>
      <c r="D18" s="4" t="inlineStr">
        <is>
          <t>Question 2/3/4000/4001 ký tự và context rất lớn</t>
        </is>
      </c>
      <c r="E18" s="19" t="inlineStr">
        <is>
          <t>P1</t>
        </is>
      </c>
      <c r="F18" s="4" t="inlineStr">
        <is>
          <t>Functional</t>
        </is>
      </c>
      <c r="G18" s="4" t="inlineStr">
        <is>
          <t>API + UI/E2E</t>
        </is>
      </c>
      <c r="H18" s="4" t="inlineStr">
        <is>
          <t>GET|POST /api/v1/common/ai-conversations/
POST /api/v1/common/ai/query/
POST /api/v1/common/ai/{id}/{confirm|feedback}/
POST /api/v1/common/ai/{id}/source/{index}/</t>
        </is>
      </c>
      <c r="I18" s="4" t="inlineStr">
        <is>
          <t>Có COM.AI.USE theo case; chuẩn bị AI OFF/ON và provider stub success/error/timeout.</t>
        </is>
      </c>
      <c r="J18" s="4" t="inlineStr">
        <is>
          <t>question=Phân tích tình hình hiện tại; request_id=req-&lt;uuid&gt;; context có/không có dữ liệu nhạy cảm</t>
        </is>
      </c>
      <c r="K18" s="4" t="inlineStr">
        <is>
          <t>1. Chuẩn bị dữ liệu đúng mục 'Điều kiện trước' và ghi lại các ID ban đầu.
2. Đăng nhập bằng đúng actor/role và chọn company/branch theo điều kiện trước.
3. Thực hiện kịch bản: Question 2/3/4000/4001 ký tự và context rất lớn.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8" s="4" t="inlineStr">
        <is>
          <t>Thực thi đúng giới hạn đã duyệt; không treo hoặc vượt payload limit</t>
        </is>
      </c>
      <c r="M18" s="4" t="inlineStr">
        <is>
          <t>Không lưu/gửi secret; interaction, feedback, source và audit đúng ownership/scope.</t>
        </is>
      </c>
      <c r="N18" s="4" t="inlineStr"/>
      <c r="O18" s="16" t="inlineStr">
        <is>
          <t>Not Run</t>
        </is>
      </c>
      <c r="P18" s="4" t="inlineStr"/>
      <c r="Q18" s="4" t="inlineStr"/>
      <c r="R18" s="4" t="inlineStr"/>
      <c r="S18" s="4" t="inlineStr"/>
      <c r="T18" s="4" t="inlineStr"/>
      <c r="U18" s="4" t="inlineStr">
        <is>
          <t>Candidate</t>
        </is>
      </c>
      <c r="V18" s="4" t="inlineStr"/>
    </row>
    <row r="19" ht="132" customHeight="1">
      <c r="A19" s="5" t="n">
        <v>16</v>
      </c>
      <c r="B19" s="17" t="inlineStr">
        <is>
          <t>COM12-16</t>
        </is>
      </c>
      <c r="C19" s="5" t="inlineStr">
        <is>
          <t>UC-COM-12</t>
        </is>
      </c>
      <c r="D19" s="5" t="inlineStr">
        <is>
          <t>Nội dung output có HTML/script/công thức nguy hiểm</t>
        </is>
      </c>
      <c r="E19" s="19" t="inlineStr">
        <is>
          <t>P1</t>
        </is>
      </c>
      <c r="F19" s="5" t="inlineStr">
        <is>
          <t>Functional</t>
        </is>
      </c>
      <c r="G19" s="5" t="inlineStr">
        <is>
          <t>API + UI/E2E</t>
        </is>
      </c>
      <c r="H19" s="5" t="inlineStr">
        <is>
          <t>GET|POST /api/v1/common/ai-conversations/
POST /api/v1/common/ai/query/
POST /api/v1/common/ai/{id}/{confirm|feedback}/
POST /api/v1/common/ai/{id}/source/{index}/</t>
        </is>
      </c>
      <c r="I19" s="5" t="inlineStr">
        <is>
          <t>Có COM.AI.USE theo case; chuẩn bị AI OFF/ON và provider stub success/error/timeout.</t>
        </is>
      </c>
      <c r="J19" s="5" t="inlineStr">
        <is>
          <t>question=Phân tích tình hình hiện tại; request_id=req-&lt;uuid&gt;; context có/không có dữ liệu nhạy cảm</t>
        </is>
      </c>
      <c r="K19" s="5" t="inlineStr">
        <is>
          <t>1. Chuẩn bị dữ liệu đúng mục 'Điều kiện trước' và ghi lại các ID ban đầu.
2. Đăng nhập bằng đúng actor/role và chọn company/branch theo điều kiện trước.
3. Thực hiện kịch bản: Nội dung output có HTML/script/công thức nguy hiểm.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9" s="5" t="inlineStr">
        <is>
          <t>UI encode/sanitize; không XSS; disclaimer luôn hiển thị</t>
        </is>
      </c>
      <c r="M19" s="5" t="inlineStr">
        <is>
          <t>Không lưu/gửi secret; interaction, feedback, source và audit đúng ownership/scope.</t>
        </is>
      </c>
      <c r="N19" s="5" t="inlineStr"/>
      <c r="O19" s="18" t="inlineStr">
        <is>
          <t>Not Run</t>
        </is>
      </c>
      <c r="P19" s="5" t="inlineStr"/>
      <c r="Q19" s="5" t="inlineStr"/>
      <c r="R19" s="5" t="inlineStr"/>
      <c r="S19" s="5" t="inlineStr"/>
      <c r="T19" s="5" t="inlineStr"/>
      <c r="U19" s="5" t="inlineStr">
        <is>
          <t>Candidate</t>
        </is>
      </c>
      <c r="V19" s="5" t="inlineStr"/>
    </row>
  </sheetData>
  <autoFilter ref="A3:V19"/>
  <mergeCells count="2">
    <mergeCell ref="A2:V2"/>
    <mergeCell ref="A1:V1"/>
  </mergeCells>
  <conditionalFormatting sqref="O4:O19">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9" showDropDown="0" showInputMessage="0" showErrorMessage="0" allowBlank="1" type="list">
      <formula1>"Not Run,Pass,Fail,Blocked,N/A"</formula1>
    </dataValidation>
    <dataValidation sqref="P4:P19" showDropDown="0" showInputMessage="0" showErrorMessage="0" allowBlank="1" type="list">
      <formula1>"S1 Critical,S2 High,S3 Medium,S4 Low"</formula1>
    </dataValidation>
    <dataValidation sqref="U4:U19" showDropDown="0" showInputMessage="0" showErrorMessage="0" allowBlank="1" type="list">
      <formula1>"Manual,Automated,Candidate,Not Applicable"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ERP QA</dc:creator>
  <dc:title xmlns:dc="http://purl.org/dc/elements/1.1/">Common Services Test Cases – UC-COM-01 đến UC-COM-12</dc:title>
  <dc:description xmlns:dc="http://purl.org/dc/elements/1.1/">Test cases generated from docs/COMMON_SERVICES_TEST_PLAN.md</dc:description>
  <dc:subject xmlns:dc="http://purl.org/dc/elements/1.1/">Execution-ready test cases</dc:subject>
  <dcterms:created xmlns:dcterms="http://purl.org/dc/terms/" xmlns:xsi="http://www.w3.org/2001/XMLSchema-instance" xsi:type="dcterms:W3CDTF">2026-09-30T02:01:25Z</dcterms:created>
  <dcterms:modified xmlns:dcterms="http://purl.org/dc/terms/" xmlns:xsi="http://www.w3.org/2001/XMLSchema-instance" xsi:type="dcterms:W3CDTF">2026-09-30T02:01:25Z</dcterms:modified>
</cp:coreProperties>
</file>