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ONG_DAN" sheetId="1" state="visible" r:id="rId1"/>
    <sheet xmlns:r="http://schemas.openxmlformats.org/officeDocument/2006/relationships" name="TONG_QUAN" sheetId="2" state="visible" r:id="rId2"/>
    <sheet xmlns:r="http://schemas.openxmlformats.org/officeDocument/2006/relationships" name="TEST_DATA" sheetId="3" state="visible" r:id="rId3"/>
    <sheet xmlns:r="http://schemas.openxmlformats.org/officeDocument/2006/relationships" name="TRACEABILITY" sheetId="4" state="visible" r:id="rId4"/>
    <sheet xmlns:r="http://schemas.openxmlformats.org/officeDocument/2006/relationships" name="POSTMAN_CASES" sheetId="5" state="visible" r:id="rId5"/>
    <sheet xmlns:r="http://schemas.openxmlformats.org/officeDocument/2006/relationships" name="COM-01" sheetId="6" state="visible" r:id="rId6"/>
    <sheet xmlns:r="http://schemas.openxmlformats.org/officeDocument/2006/relationships" name="COM-02" sheetId="7" state="visible" r:id="rId7"/>
    <sheet xmlns:r="http://schemas.openxmlformats.org/officeDocument/2006/relationships" name="COM-03" sheetId="8" state="visible" r:id="rId8"/>
    <sheet xmlns:r="http://schemas.openxmlformats.org/officeDocument/2006/relationships" name="COM-04" sheetId="9" state="visible" r:id="rId9"/>
    <sheet xmlns:r="http://schemas.openxmlformats.org/officeDocument/2006/relationships" name="COM-05" sheetId="10" state="visible" r:id="rId10"/>
    <sheet xmlns:r="http://schemas.openxmlformats.org/officeDocument/2006/relationships" name="COM-06" sheetId="11" state="visible" r:id="rId11"/>
    <sheet xmlns:r="http://schemas.openxmlformats.org/officeDocument/2006/relationships" name="COM-07" sheetId="12" state="visible" r:id="rId12"/>
    <sheet xmlns:r="http://schemas.openxmlformats.org/officeDocument/2006/relationships" name="COM-08" sheetId="13" state="visible" r:id="rId13"/>
    <sheet xmlns:r="http://schemas.openxmlformats.org/officeDocument/2006/relationships" name="COM-09" sheetId="14" state="visible" r:id="rId14"/>
    <sheet xmlns:r="http://schemas.openxmlformats.org/officeDocument/2006/relationships" name="COM-10" sheetId="15" state="visible" r:id="rId15"/>
    <sheet xmlns:r="http://schemas.openxmlformats.org/officeDocument/2006/relationships" name="COM-11" sheetId="16" state="visible" r:id="rId16"/>
    <sheet xmlns:r="http://schemas.openxmlformats.org/officeDocument/2006/relationships" name="COM-12" sheetId="17" state="visible" r:id="rId17"/>
  </sheets>
  <definedNames>
    <definedName name="_xlnm._FilterDatabase" localSheetId="0" hidden="1">'HUONG_DAN'!$A$3:$D$9</definedName>
    <definedName name="_xlnm._FilterDatabase" localSheetId="1" hidden="1">'TONG_QUAN'!$A$3:$K$16</definedName>
    <definedName name="_xlnm._FilterDatabase" localSheetId="2" hidden="1">'TEST_DATA'!$A$3:$F$18</definedName>
    <definedName name="_xlnm._FilterDatabase" localSheetId="3" hidden="1">'TRACEABILITY'!$A$3:$F$15</definedName>
    <definedName name="_xlnm._FilterDatabase" localSheetId="4" hidden="1">'POSTMAN_CASES'!$A$3:$V$149</definedName>
    <definedName name="_xlnm._FilterDatabase" localSheetId="5" hidden="1">'COM-01'!$A$3:$V$17</definedName>
    <definedName name="_xlnm._FilterDatabase" localSheetId="6" hidden="1">'COM-02'!$A$3:$V$17</definedName>
    <definedName name="_xlnm._FilterDatabase" localSheetId="7" hidden="1">'COM-03'!$A$3:$V$16</definedName>
    <definedName name="_xlnm._FilterDatabase" localSheetId="8" hidden="1">'COM-04'!$A$3:$V$10</definedName>
    <definedName name="_xlnm._FilterDatabase" localSheetId="9" hidden="1">'COM-05'!$A$3:$V$14</definedName>
    <definedName name="_xlnm._FilterDatabase" localSheetId="10" hidden="1">'COM-06'!$A$3:$V$12</definedName>
    <definedName name="_xlnm._FilterDatabase" localSheetId="11" hidden="1">'COM-07'!$A$3:$V$15</definedName>
    <definedName name="_xlnm._FilterDatabase" localSheetId="12" hidden="1">'COM-08'!$A$3:$V$14</definedName>
    <definedName name="_xlnm._FilterDatabase" localSheetId="13" hidden="1">'COM-09'!$A$3:$V$15</definedName>
    <definedName name="_xlnm._FilterDatabase" localSheetId="14" hidden="1">'COM-10'!$A$3:$V$14</definedName>
    <definedName name="_xlnm._FilterDatabase" localSheetId="15" hidden="1">'COM-11'!$A$3:$V$15</definedName>
    <definedName name="_xlnm._FilterDatabase" localSheetId="16" hidden="1">'COM-12'!$A$3:$V$19</definedName>
  </definedNames>
  <calcPr calcId="124519"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name val="Aptos Display"/>
      <b val="1"/>
      <color rgb="00FFFFFF"/>
      <sz val="18"/>
    </font>
    <font>
      <name val="Aptos"/>
      <i val="1"/>
      <color rgb="0044546A"/>
      <sz val="10"/>
    </font>
    <font>
      <name val="Aptos"/>
      <b val="1"/>
      <color rgb="00FFFFFF"/>
      <sz val="10"/>
    </font>
    <font>
      <name val="Aptos"/>
      <sz val="10"/>
    </font>
    <font>
      <name val="Calibri"/>
      <family val="2"/>
      <color theme="10"/>
      <sz val="12"/>
      <scheme val="minor"/>
    </font>
    <font>
      <name val="Aptos"/>
      <b val="1"/>
    </font>
    <font>
      <b val="1"/>
    </font>
    <font>
      <name val="Aptos"/>
      <b val="1"/>
      <color rgb="001F4E78"/>
    </font>
    <font>
      <b val="1"/>
      <color rgb="00FFFFFF"/>
      <sz val="18"/>
    </font>
    <font>
      <b val="1"/>
      <color rgb="00FFFFFF"/>
    </font>
  </fonts>
  <fills count="9">
    <fill>
      <patternFill/>
    </fill>
    <fill>
      <patternFill patternType="gray125"/>
    </fill>
    <fill>
      <patternFill patternType="solid">
        <fgColor rgb="0017365D"/>
      </patternFill>
    </fill>
    <fill>
      <patternFill patternType="solid">
        <fgColor rgb="00D9EAF7"/>
      </patternFill>
    </fill>
    <fill>
      <patternFill patternType="solid">
        <fgColor rgb="001F4E78"/>
      </patternFill>
    </fill>
    <fill>
      <patternFill patternType="solid">
        <fgColor rgb="00F5F9FC"/>
      </patternFill>
    </fill>
    <fill>
      <patternFill patternType="solid">
        <fgColor rgb="00D9EAD3"/>
      </patternFill>
    </fill>
    <fill>
      <patternFill patternType="solid">
        <fgColor rgb="00F4CCCC"/>
      </patternFill>
    </fill>
    <fill>
      <patternFill patternType="solid">
        <fgColor rgb="00FFF2CC"/>
      </patternFill>
    </fill>
  </fills>
  <borders count="3">
    <border>
      <left/>
      <right/>
      <top/>
      <bottom/>
      <diagonal/>
    </border>
    <border>
      <left style="thin">
        <color rgb="00B7C9D6"/>
      </left>
      <right style="thin">
        <color rgb="00B7C9D6"/>
      </right>
      <top style="thin">
        <color rgb="00B7C9D6"/>
      </top>
      <bottom style="thin">
        <color rgb="00B7C9D6"/>
      </bottom>
    </border>
    <border>
      <bottom style="thin">
        <color rgb="00B7C9D6"/>
      </bottom>
    </border>
  </borders>
  <cellStyleXfs count="2">
    <xf numFmtId="0" fontId="0" fillId="0" borderId="0"/>
    <xf numFmtId="0" fontId="5" fillId="0" borderId="0"/>
  </cellStyleXfs>
  <cellXfs count="26">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wrapText="1"/>
    </xf>
    <xf numFmtId="0" fontId="3" fillId="4" borderId="1" applyAlignment="1" pivotButton="0" quotePrefix="0" xfId="0">
      <alignment horizontal="center" vertical="center" wrapText="1"/>
    </xf>
    <xf numFmtId="0" fontId="4" fillId="5" borderId="1" applyAlignment="1" pivotButton="0" quotePrefix="0" xfId="0">
      <alignment vertical="top" wrapText="1"/>
    </xf>
    <xf numFmtId="0" fontId="4" fillId="0" borderId="1" applyAlignment="1" pivotButton="0" quotePrefix="0" xfId="0">
      <alignment vertical="top" wrapText="1"/>
    </xf>
    <xf numFmtId="0" fontId="4" fillId="5" borderId="1" applyAlignment="1" pivotButton="0" quotePrefix="0" xfId="1">
      <alignment vertical="top" wrapText="1"/>
    </xf>
    <xf numFmtId="164" fontId="4" fillId="5" borderId="1" applyAlignment="1" pivotButton="0" quotePrefix="0" xfId="0">
      <alignment vertical="top" wrapText="1"/>
    </xf>
    <xf numFmtId="0" fontId="4" fillId="0" borderId="1" applyAlignment="1" pivotButton="0" quotePrefix="0" xfId="1">
      <alignment vertical="top" wrapText="1"/>
    </xf>
    <xf numFmtId="164" fontId="4" fillId="0" borderId="1" applyAlignment="1" pivotButton="0" quotePrefix="0" xfId="0">
      <alignment vertical="top" wrapText="1"/>
    </xf>
    <xf numFmtId="0" fontId="6" fillId="6" borderId="1" applyAlignment="1" pivotButton="0" quotePrefix="0" xfId="0">
      <alignment vertical="top" wrapText="1"/>
    </xf>
    <xf numFmtId="164" fontId="6" fillId="6" borderId="1" applyAlignment="1" pivotButton="0" quotePrefix="0" xfId="0">
      <alignment vertical="top" wrapText="1"/>
    </xf>
    <xf numFmtId="0" fontId="7" fillId="3" borderId="2" pivotButton="0" quotePrefix="0" xfId="0"/>
    <xf numFmtId="0" fontId="0" fillId="0" borderId="2" pivotButton="0" quotePrefix="0" xfId="0"/>
    <xf numFmtId="0" fontId="8" fillId="5" borderId="1" applyAlignment="1" pivotButton="0" quotePrefix="0" xfId="0">
      <alignment vertical="top" wrapText="1"/>
    </xf>
    <xf numFmtId="0" fontId="4" fillId="7" borderId="1" applyAlignment="1" pivotButton="0" quotePrefix="0" xfId="0">
      <alignment horizontal="center" vertical="center"/>
    </xf>
    <xf numFmtId="0" fontId="4" fillId="5" borderId="1" applyAlignment="1" pivotButton="0" quotePrefix="0" xfId="0">
      <alignment horizontal="center" vertical="center"/>
    </xf>
    <xf numFmtId="0" fontId="8" fillId="0" borderId="1" applyAlignment="1" pivotButton="0" quotePrefix="0" xfId="0">
      <alignment vertical="top" wrapText="1"/>
    </xf>
    <xf numFmtId="0" fontId="4" fillId="0" borderId="1" applyAlignment="1" pivotButton="0" quotePrefix="0" xfId="0">
      <alignment horizontal="center" vertical="center"/>
    </xf>
    <xf numFmtId="0" fontId="4" fillId="8" borderId="1" applyAlignment="1" pivotButton="0" quotePrefix="0" xfId="0">
      <alignment horizontal="center" vertical="center"/>
    </xf>
    <xf numFmtId="0" fontId="4" fillId="6" borderId="1" applyAlignment="1" pivotButton="0" quotePrefix="0" xfId="0">
      <alignment horizontal="center" vertical="center"/>
    </xf>
    <xf numFmtId="0" fontId="9" fillId="2" borderId="0" applyAlignment="1" pivotButton="0" quotePrefix="0" xfId="0">
      <alignment vertical="center"/>
    </xf>
    <xf numFmtId="0" fontId="0" fillId="3" borderId="0" applyAlignment="1" pivotButton="0" quotePrefix="0" xfId="0">
      <alignment wrapText="1"/>
    </xf>
    <xf numFmtId="0" fontId="10" fillId="4" borderId="1" applyAlignment="1" pivotButton="0" quotePrefix="0" xfId="0">
      <alignment horizontal="center" vertical="center" wrapText="1"/>
    </xf>
    <xf numFmtId="0" fontId="0" fillId="0" borderId="1" applyAlignment="1" pivotButton="0" quotePrefix="0" xfId="0">
      <alignment vertical="top" wrapText="1"/>
    </xf>
    <xf numFmtId="0" fontId="0" fillId="8" borderId="1" applyAlignment="1" applyProtection="1" pivotButton="0" quotePrefix="0" xfId="0">
      <alignment vertical="top" wrapText="1"/>
      <protection locked="0" hidden="0"/>
    </xf>
  </cellXfs>
  <cellStyles count="2">
    <cellStyle name="Normal" xfId="0" builtinId="0" hidden="0"/>
    <cellStyle name="Hyperlink" xfId="1" builtinId="8" hidden="0"/>
  </cellStyles>
  <dxfs count="4">
    <dxf>
      <fill>
        <patternFill patternType="solid">
          <fgColor rgb="00C6EFCE"/>
        </patternFill>
      </fill>
    </dxf>
    <dxf>
      <fill>
        <patternFill patternType="solid">
          <fgColor rgb="00FFC7CE"/>
        </patternFill>
      </fill>
    </dxf>
    <dxf>
      <fill>
        <patternFill patternType="solid">
          <fgColor rgb="00FFEB9C"/>
        </patternFill>
      </fill>
    </dxf>
    <dxf>
      <fill>
        <patternFill patternType="solid">
          <fgColor rgb="00D9E1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COM-01'!A1" TargetMode="External" Id="rId1"/><Relationship Type="http://schemas.openxmlformats.org/officeDocument/2006/relationships/hyperlink" Target="#'COM-02'!A1" TargetMode="External" Id="rId2"/><Relationship Type="http://schemas.openxmlformats.org/officeDocument/2006/relationships/hyperlink" Target="#'COM-03'!A1" TargetMode="External" Id="rId3"/><Relationship Type="http://schemas.openxmlformats.org/officeDocument/2006/relationships/hyperlink" Target="#'COM-04'!A1" TargetMode="External" Id="rId4"/><Relationship Type="http://schemas.openxmlformats.org/officeDocument/2006/relationships/hyperlink" Target="#'COM-05'!A1" TargetMode="External" Id="rId5"/><Relationship Type="http://schemas.openxmlformats.org/officeDocument/2006/relationships/hyperlink" Target="#'COM-06'!A1" TargetMode="External" Id="rId6"/><Relationship Type="http://schemas.openxmlformats.org/officeDocument/2006/relationships/hyperlink" Target="#'COM-07'!A1" TargetMode="External" Id="rId7"/><Relationship Type="http://schemas.openxmlformats.org/officeDocument/2006/relationships/hyperlink" Target="#'COM-08'!A1" TargetMode="External" Id="rId8"/><Relationship Type="http://schemas.openxmlformats.org/officeDocument/2006/relationships/hyperlink" Target="#'COM-09'!A1" TargetMode="External" Id="rId9"/><Relationship Type="http://schemas.openxmlformats.org/officeDocument/2006/relationships/hyperlink" Target="#'COM-10'!A1" TargetMode="External" Id="rId10"/><Relationship Type="http://schemas.openxmlformats.org/officeDocument/2006/relationships/hyperlink" Target="#'COM-11'!A1" TargetMode="External" Id="rId11"/><Relationship Type="http://schemas.openxmlformats.org/officeDocument/2006/relationships/hyperlink" Target="#'COM-12'!A1" TargetMode="External" Id="rId12"/></Relationships>
</file>

<file path=xl/worksheets/_rels/sheet4.xml.rels><Relationships xmlns="http://schemas.openxmlformats.org/package/2006/relationships"><Relationship Type="http://schemas.openxmlformats.org/officeDocument/2006/relationships/hyperlink" Target="https://app.notion.com/p/UC-COM-01-ng-k-v-x-c-th-c-t-i-kho-n-3e6a3ff152d580f3834df8eb971eb382?pvs=21" TargetMode="External" Id="rId1"/><Relationship Type="http://schemas.openxmlformats.org/officeDocument/2006/relationships/hyperlink" Target="https://app.notion.com/p/UC-COM-02-G-i-y-u-c-u-tham-gia-doanh-nghi-p-3e6a3ff152d580babfd0c3966f1489fa?pvs=21" TargetMode="External" Id="rId2"/><Relationship Type="http://schemas.openxmlformats.org/officeDocument/2006/relationships/hyperlink" Target="https://app.notion.com/p/UC-COM-03-ng-nh-p-3e6a3ff152d58081ae73ff4c5f87c214?pvs=21" TargetMode="External" Id="rId3"/><Relationship Type="http://schemas.openxmlformats.org/officeDocument/2006/relationships/hyperlink" Target="https://app.notion.com/p/UC-COM-04-ng-xu-t-3e6a3ff152d58019962cf92b9a8753ab?pvs=21" TargetMode="External" Id="rId4"/><Relationship Type="http://schemas.openxmlformats.org/officeDocument/2006/relationships/hyperlink" Target="https://app.notion.com/p/UC-COM-05-Qu-n-v-t-l-i-m-t-kh-u-3e6a3ff152d580c68d79eb77a45d1b1f?pvs=21" TargetMode="External" Id="rId5"/><Relationship Type="http://schemas.openxmlformats.org/officeDocument/2006/relationships/hyperlink" Target="https://app.notion.com/p/UC-COM-06-i-m-t-kh-u-3e6a3ff152d580f1944bdd84f087a663?pvs=21" TargetMode="External" Id="rId6"/><Relationship Type="http://schemas.openxmlformats.org/officeDocument/2006/relationships/hyperlink" Target="https://app.notion.com/p/UC-COM-07-Qu-n-l-t-i-kho-n-c-nh-n-3e6a3ff152d5809786f3d5125c32434e?pvs=21" TargetMode="External" Id="rId7"/><Relationship Type="http://schemas.openxmlformats.org/officeDocument/2006/relationships/hyperlink" Target="https://app.notion.com/p/UC-COM-08-Chuy-n-ph-m-vi-l-m-vi-c-3e6a3ff152d580b282c1c042b0247235?pvs=21" TargetMode="External" Id="rId8"/><Relationship Type="http://schemas.openxmlformats.org/officeDocument/2006/relationships/hyperlink" Target="https://app.notion.com/p/UC-COM-09-Xem-v-x-l-th-ng-b-o-3e6a3ff152d580d99947fceb4cd6601c?pvs=21" TargetMode="External" Id="rId9"/><Relationship Type="http://schemas.openxmlformats.org/officeDocument/2006/relationships/hyperlink" Target="https://app.notion.com/p/UC-COM-10-T-m-ki-m-to-n-h-th-ng-3e6a3ff152d580da867adfa81349d643?pvs=21" TargetMode="External" Id="rId10"/><Relationship Type="http://schemas.openxmlformats.org/officeDocument/2006/relationships/hyperlink" Target="https://app.notion.com/p/UC-COM-11-Xem-vi-c-c-n-x-l-3e6a3ff152d580a8b717ce2bbb2db731?pvs=21" TargetMode="External" Id="rId11"/><Relationship Type="http://schemas.openxmlformats.org/officeDocument/2006/relationships/hyperlink" Target="https://app.notion.com/p/UC-COM-12-S-d-ng-AI-Assistant-3e6a3ff152d58051bbaece21b9a546c3?pvs=21" TargetMode="External" Id="rId12"/></Relationships>
</file>

<file path=xl/worksheets/sheet1.xml><?xml version="1.0" encoding="utf-8"?>
<worksheet xmlns="http://schemas.openxmlformats.org/spreadsheetml/2006/main">
  <sheetPr>
    <outlinePr summaryBelow="1" summaryRight="1"/>
    <pageSetUpPr/>
  </sheetPr>
  <dimension ref="A1:D9"/>
  <sheetViews>
    <sheetView workbookViewId="0">
      <pane ySplit="3" topLeftCell="A4" activePane="bottomLeft" state="frozen"/>
      <selection pane="bottomLeft" activeCell="A1" sqref="A1"/>
    </sheetView>
  </sheetViews>
  <sheetFormatPr baseColWidth="8" defaultRowHeight="15"/>
  <cols>
    <col width="20" customWidth="1" min="1" max="1"/>
    <col width="85" customWidth="1" min="2" max="2"/>
    <col width="12" customWidth="1" min="3" max="3"/>
    <col width="38" customWidth="1" min="4" max="4"/>
  </cols>
  <sheetData>
    <row r="1" ht="32" customHeight="1">
      <c r="A1" s="1" t="inlineStr">
        <is>
          <t>HƯỚNG DẪN THỰC THI TEST CASE</t>
        </is>
      </c>
    </row>
    <row r="2" ht="30" customHeight="1">
      <c r="A2" s="2" t="inlineStr">
        <is>
          <t>Workbook chỉ dành cho UC-COM-01 đến UC-COM-12</t>
        </is>
      </c>
    </row>
    <row r="3" ht="38" customHeight="1">
      <c r="A3" s="3" t="inlineStr">
        <is>
          <t>Mục</t>
        </is>
      </c>
      <c r="B3" s="3" t="inlineStr">
        <is>
          <t>Hướng dẫn</t>
        </is>
      </c>
      <c r="C3" s="3" t="inlineStr">
        <is>
          <t>Bắt buộc</t>
        </is>
      </c>
      <c r="D3" s="3" t="inlineStr">
        <is>
          <t>Ghi chú</t>
        </is>
      </c>
    </row>
    <row r="4" ht="44" customHeight="1">
      <c r="A4" s="4" t="inlineStr">
        <is>
          <t>Trước khi test</t>
        </is>
      </c>
      <c r="B4" s="4" t="inlineStr">
        <is>
          <t>Ghi Build/Environment tại sheet TONG_QUAN; chuẩn bị account và dữ liệu theo TEST_DATA.</t>
        </is>
      </c>
      <c r="C4" s="4" t="inlineStr">
        <is>
          <t>Có</t>
        </is>
      </c>
      <c r="D4" s="4" t="inlineStr">
        <is>
          <t>Không dùng dữ liệu production.</t>
        </is>
      </c>
    </row>
    <row r="5" ht="44" customHeight="1">
      <c r="A5" s="5" t="inlineStr">
        <is>
          <t>Thực thi</t>
        </is>
      </c>
      <c r="B5" s="5" t="inlineStr">
        <is>
          <t>Mở sheet UC tương ứng, lọc Priority/Status, làm lần lượt các bước và ghi Actual Result.</t>
        </is>
      </c>
      <c r="C5" s="5" t="inlineStr">
        <is>
          <t>Có</t>
        </is>
      </c>
      <c r="D5" s="5" t="inlineStr">
        <is>
          <t>P0 trước, sau đó P1 và P2.</t>
        </is>
      </c>
    </row>
    <row r="6" ht="44" customHeight="1">
      <c r="A6" s="4" t="inlineStr">
        <is>
          <t>Status</t>
        </is>
      </c>
      <c r="B6" s="4" t="inlineStr">
        <is>
          <t>Not Run: chưa chạy; Pass: đúng; Fail: sai; Blocked: không thể chạy; N/A: không áp dụng.</t>
        </is>
      </c>
      <c r="C6" s="4" t="inlineStr">
        <is>
          <t>Có</t>
        </is>
      </c>
      <c r="D6" s="4" t="inlineStr">
        <is>
          <t>Fail/Blocked phải có evidence.</t>
        </is>
      </c>
    </row>
    <row r="7" ht="44" customHeight="1">
      <c r="A7" s="5" t="inlineStr">
        <is>
          <t>Khi Fail</t>
        </is>
      </c>
      <c r="B7" s="5" t="inlineStr">
        <is>
          <t>Chọn Severity, nhập Defect ID, request/response đã che token/OTP và Evidence/Link.</t>
        </is>
      </c>
      <c r="C7" s="5" t="inlineStr">
        <is>
          <t>Có</t>
        </is>
      </c>
      <c r="D7" s="5" t="inlineStr">
        <is>
          <t>Không đưa secret vào ticket.</t>
        </is>
      </c>
    </row>
    <row r="8" ht="44" customHeight="1">
      <c r="A8" s="4" t="inlineStr">
        <is>
          <t>Retest</t>
        </is>
      </c>
      <c r="B8" s="4" t="inlineStr">
        <is>
          <t>Giữ nguyên Test Case ID, cập nhật Actual Result/Status/Ngày chạy và ghi lịch sử trong Ghi chú.</t>
        </is>
      </c>
      <c r="C8" s="4" t="inlineStr">
        <is>
          <t>Có</t>
        </is>
      </c>
      <c r="D8" s="4" t="inlineStr">
        <is>
          <t>Không xóa bằng chứng lần chạy cũ.</t>
        </is>
      </c>
    </row>
    <row r="9" ht="44" customHeight="1">
      <c r="A9" s="5" t="inlineStr">
        <is>
          <t>Nguồn kỳ vọng</t>
        </is>
      </c>
      <c r="B9" s="5" t="inlineStr">
        <is>
          <t>Expected Result lấy từ test plan và implementation hiện tại; đối chiếu Notion trước sign-off.</t>
        </is>
      </c>
      <c r="C9" s="5" t="inlineStr">
        <is>
          <t>Có</t>
        </is>
      </c>
      <c r="D9" s="5" t="inlineStr">
        <is>
          <t>Các điểm mở nằm trong test plan.</t>
        </is>
      </c>
    </row>
  </sheetData>
  <autoFilter ref="A3:D9"/>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3" topLeftCell="A4" activePane="bottomLeft" state="frozen"/>
      <selection pane="bottomLeft" activeCell="A1" sqref="A1"/>
    </sheetView>
  </sheetViews>
  <sheetFormatPr baseColWidth="8" defaultRowHeight="15"/>
  <cols>
    <col width="15" customWidth="1" min="1" max="1"/>
    <col width="42" customWidth="1" min="2" max="2"/>
    <col width="11" customWidth="1" min="3" max="3"/>
    <col width="9" customWidth="1" min="4" max="4"/>
    <col width="9" customWidth="1" min="5" max="5"/>
    <col width="9" customWidth="1" min="6" max="6"/>
    <col width="11" customWidth="1" min="7" max="7"/>
    <col width="11" customWidth="1" min="8" max="8"/>
    <col width="11" customWidth="1" min="9" max="9"/>
    <col width="11" customWidth="1" min="10" max="10"/>
    <col width="11" customWidth="1" min="11" max="11"/>
  </cols>
  <sheetData>
    <row r="1" ht="32" customHeight="1">
      <c r="A1" s="1" t="inlineStr">
        <is>
          <t>TỔNG QUAN THỰC THI</t>
        </is>
      </c>
    </row>
    <row r="2" ht="30" customHeight="1">
      <c r="A2" s="2" t="inlineStr">
        <is>
          <t>Sinh ngày 30/09/2026 từ COMMON_SERVICES_TEST_PLAN.md</t>
        </is>
      </c>
    </row>
    <row r="3" ht="38" customHeight="1">
      <c r="A3" s="3" t="inlineStr">
        <is>
          <t>UC ID</t>
        </is>
      </c>
      <c r="B3" s="3" t="inlineStr">
        <is>
          <t>Tên use case</t>
        </is>
      </c>
      <c r="C3" s="3" t="inlineStr">
        <is>
          <t>Tổng TC</t>
        </is>
      </c>
      <c r="D3" s="3" t="inlineStr">
        <is>
          <t>P0</t>
        </is>
      </c>
      <c r="E3" s="3" t="inlineStr">
        <is>
          <t>P1</t>
        </is>
      </c>
      <c r="F3" s="3" t="inlineStr">
        <is>
          <t>P2</t>
        </is>
      </c>
      <c r="G3" s="3" t="inlineStr">
        <is>
          <t>Pass</t>
        </is>
      </c>
      <c r="H3" s="3" t="inlineStr">
        <is>
          <t>Fail</t>
        </is>
      </c>
      <c r="I3" s="3" t="inlineStr">
        <is>
          <t>Blocked</t>
        </is>
      </c>
      <c r="J3" s="3" t="inlineStr">
        <is>
          <t>Not Run</t>
        </is>
      </c>
      <c r="K3" s="3" t="inlineStr">
        <is>
          <t>% Pass</t>
        </is>
      </c>
    </row>
    <row r="4">
      <c r="A4" s="6" t="inlineStr">
        <is>
          <t>UC-COM-01</t>
        </is>
      </c>
      <c r="B4" s="4" t="inlineStr">
        <is>
          <t>Đăng ký và xác thực tài khoản</t>
        </is>
      </c>
      <c r="C4" s="4" t="n">
        <v>14</v>
      </c>
      <c r="D4" s="4" t="n">
        <v>8</v>
      </c>
      <c r="E4" s="4" t="n">
        <v>6</v>
      </c>
      <c r="F4" s="4" t="n">
        <v>0</v>
      </c>
      <c r="G4" s="4">
        <f>COUNTIF('COM-01'!$O:$O,"Pass")</f>
        <v/>
      </c>
      <c r="H4" s="4">
        <f>COUNTIF('COM-01'!$O:$O,"Fail")</f>
        <v/>
      </c>
      <c r="I4" s="4">
        <f>COUNTIF('COM-01'!$O:$O,"Blocked")</f>
        <v/>
      </c>
      <c r="J4" s="4">
        <f>COUNTIF('COM-01'!$O:$O,"Not Run")</f>
        <v/>
      </c>
      <c r="K4" s="7">
        <f>IF(C4=0,0,G4/C4)</f>
        <v/>
      </c>
    </row>
    <row r="5">
      <c r="A5" s="8" t="inlineStr">
        <is>
          <t>UC-COM-02</t>
        </is>
      </c>
      <c r="B5" s="5" t="inlineStr">
        <is>
          <t>Gửi yêu cầu tham gia doanh nghiệp</t>
        </is>
      </c>
      <c r="C5" s="5" t="n">
        <v>14</v>
      </c>
      <c r="D5" s="5" t="n">
        <v>7</v>
      </c>
      <c r="E5" s="5" t="n">
        <v>7</v>
      </c>
      <c r="F5" s="5" t="n">
        <v>0</v>
      </c>
      <c r="G5" s="5">
        <f>COUNTIF('COM-02'!$O:$O,"Pass")</f>
        <v/>
      </c>
      <c r="H5" s="5">
        <f>COUNTIF('COM-02'!$O:$O,"Fail")</f>
        <v/>
      </c>
      <c r="I5" s="5">
        <f>COUNTIF('COM-02'!$O:$O,"Blocked")</f>
        <v/>
      </c>
      <c r="J5" s="5">
        <f>COUNTIF('COM-02'!$O:$O,"Not Run")</f>
        <v/>
      </c>
      <c r="K5" s="9">
        <f>IF(C5=0,0,G5/C5)</f>
        <v/>
      </c>
    </row>
    <row r="6">
      <c r="A6" s="6" t="inlineStr">
        <is>
          <t>UC-COM-03</t>
        </is>
      </c>
      <c r="B6" s="4" t="inlineStr">
        <is>
          <t>Đăng nhập</t>
        </is>
      </c>
      <c r="C6" s="4" t="n">
        <v>13</v>
      </c>
      <c r="D6" s="4" t="n">
        <v>8</v>
      </c>
      <c r="E6" s="4" t="n">
        <v>5</v>
      </c>
      <c r="F6" s="4" t="n">
        <v>0</v>
      </c>
      <c r="G6" s="4">
        <f>COUNTIF('COM-03'!$O:$O,"Pass")</f>
        <v/>
      </c>
      <c r="H6" s="4">
        <f>COUNTIF('COM-03'!$O:$O,"Fail")</f>
        <v/>
      </c>
      <c r="I6" s="4">
        <f>COUNTIF('COM-03'!$O:$O,"Blocked")</f>
        <v/>
      </c>
      <c r="J6" s="4">
        <f>COUNTIF('COM-03'!$O:$O,"Not Run")</f>
        <v/>
      </c>
      <c r="K6" s="7">
        <f>IF(C6=0,0,G6/C6)</f>
        <v/>
      </c>
    </row>
    <row r="7">
      <c r="A7" s="8" t="inlineStr">
        <is>
          <t>UC-COM-04</t>
        </is>
      </c>
      <c r="B7" s="5" t="inlineStr">
        <is>
          <t>Đăng xuất</t>
        </is>
      </c>
      <c r="C7" s="5" t="n">
        <v>7</v>
      </c>
      <c r="D7" s="5" t="n">
        <v>5</v>
      </c>
      <c r="E7" s="5" t="n">
        <v>2</v>
      </c>
      <c r="F7" s="5" t="n">
        <v>0</v>
      </c>
      <c r="G7" s="5">
        <f>COUNTIF('COM-04'!$O:$O,"Pass")</f>
        <v/>
      </c>
      <c r="H7" s="5">
        <f>COUNTIF('COM-04'!$O:$O,"Fail")</f>
        <v/>
      </c>
      <c r="I7" s="5">
        <f>COUNTIF('COM-04'!$O:$O,"Blocked")</f>
        <v/>
      </c>
      <c r="J7" s="5">
        <f>COUNTIF('COM-04'!$O:$O,"Not Run")</f>
        <v/>
      </c>
      <c r="K7" s="9">
        <f>IF(C7=0,0,G7/C7)</f>
        <v/>
      </c>
    </row>
    <row r="8">
      <c r="A8" s="6" t="inlineStr">
        <is>
          <t>UC-COM-05</t>
        </is>
      </c>
      <c r="B8" s="4" t="inlineStr">
        <is>
          <t>Quên và đặt lại mật khẩu</t>
        </is>
      </c>
      <c r="C8" s="4" t="n">
        <v>11</v>
      </c>
      <c r="D8" s="4" t="n">
        <v>7</v>
      </c>
      <c r="E8" s="4" t="n">
        <v>4</v>
      </c>
      <c r="F8" s="4" t="n">
        <v>0</v>
      </c>
      <c r="G8" s="4">
        <f>COUNTIF('COM-05'!$O:$O,"Pass")</f>
        <v/>
      </c>
      <c r="H8" s="4">
        <f>COUNTIF('COM-05'!$O:$O,"Fail")</f>
        <v/>
      </c>
      <c r="I8" s="4">
        <f>COUNTIF('COM-05'!$O:$O,"Blocked")</f>
        <v/>
      </c>
      <c r="J8" s="4">
        <f>COUNTIF('COM-05'!$O:$O,"Not Run")</f>
        <v/>
      </c>
      <c r="K8" s="7">
        <f>IF(C8=0,0,G8/C8)</f>
        <v/>
      </c>
    </row>
    <row r="9">
      <c r="A9" s="8" t="inlineStr">
        <is>
          <t>UC-COM-06</t>
        </is>
      </c>
      <c r="B9" s="5" t="inlineStr">
        <is>
          <t>Đổi mật khẩu</t>
        </is>
      </c>
      <c r="C9" s="5" t="n">
        <v>9</v>
      </c>
      <c r="D9" s="5" t="n">
        <v>6</v>
      </c>
      <c r="E9" s="5" t="n">
        <v>3</v>
      </c>
      <c r="F9" s="5" t="n">
        <v>0</v>
      </c>
      <c r="G9" s="5">
        <f>COUNTIF('COM-06'!$O:$O,"Pass")</f>
        <v/>
      </c>
      <c r="H9" s="5">
        <f>COUNTIF('COM-06'!$O:$O,"Fail")</f>
        <v/>
      </c>
      <c r="I9" s="5">
        <f>COUNTIF('COM-06'!$O:$O,"Blocked")</f>
        <v/>
      </c>
      <c r="J9" s="5">
        <f>COUNTIF('COM-06'!$O:$O,"Not Run")</f>
        <v/>
      </c>
      <c r="K9" s="9">
        <f>IF(C9=0,0,G9/C9)</f>
        <v/>
      </c>
    </row>
    <row r="10">
      <c r="A10" s="6" t="inlineStr">
        <is>
          <t>UC-COM-07</t>
        </is>
      </c>
      <c r="B10" s="4" t="inlineStr">
        <is>
          <t>Quản lý tài khoản cá nhân</t>
        </is>
      </c>
      <c r="C10" s="4" t="n">
        <v>12</v>
      </c>
      <c r="D10" s="4" t="n">
        <v>3</v>
      </c>
      <c r="E10" s="4" t="n">
        <v>9</v>
      </c>
      <c r="F10" s="4" t="n">
        <v>0</v>
      </c>
      <c r="G10" s="4">
        <f>COUNTIF('COM-07'!$O:$O,"Pass")</f>
        <v/>
      </c>
      <c r="H10" s="4">
        <f>COUNTIF('COM-07'!$O:$O,"Fail")</f>
        <v/>
      </c>
      <c r="I10" s="4">
        <f>COUNTIF('COM-07'!$O:$O,"Blocked")</f>
        <v/>
      </c>
      <c r="J10" s="4">
        <f>COUNTIF('COM-07'!$O:$O,"Not Run")</f>
        <v/>
      </c>
      <c r="K10" s="7">
        <f>IF(C10=0,0,G10/C10)</f>
        <v/>
      </c>
    </row>
    <row r="11">
      <c r="A11" s="8" t="inlineStr">
        <is>
          <t>UC-COM-08</t>
        </is>
      </c>
      <c r="B11" s="5" t="inlineStr">
        <is>
          <t>Chuyển phạm vi làm việc</t>
        </is>
      </c>
      <c r="C11" s="5" t="n">
        <v>11</v>
      </c>
      <c r="D11" s="5" t="n">
        <v>6</v>
      </c>
      <c r="E11" s="5" t="n">
        <v>5</v>
      </c>
      <c r="F11" s="5" t="n">
        <v>0</v>
      </c>
      <c r="G11" s="5">
        <f>COUNTIF('COM-08'!$O:$O,"Pass")</f>
        <v/>
      </c>
      <c r="H11" s="5">
        <f>COUNTIF('COM-08'!$O:$O,"Fail")</f>
        <v/>
      </c>
      <c r="I11" s="5">
        <f>COUNTIF('COM-08'!$O:$O,"Blocked")</f>
        <v/>
      </c>
      <c r="J11" s="5">
        <f>COUNTIF('COM-08'!$O:$O,"Not Run")</f>
        <v/>
      </c>
      <c r="K11" s="9">
        <f>IF(C11=0,0,G11/C11)</f>
        <v/>
      </c>
    </row>
    <row r="12">
      <c r="A12" s="6" t="inlineStr">
        <is>
          <t>UC-COM-09</t>
        </is>
      </c>
      <c r="B12" s="4" t="inlineStr">
        <is>
          <t>Xem và xử lý thông báo</t>
        </is>
      </c>
      <c r="C12" s="4" t="n">
        <v>12</v>
      </c>
      <c r="D12" s="4" t="n">
        <v>3</v>
      </c>
      <c r="E12" s="4" t="n">
        <v>8</v>
      </c>
      <c r="F12" s="4" t="n">
        <v>1</v>
      </c>
      <c r="G12" s="4">
        <f>COUNTIF('COM-09'!$O:$O,"Pass")</f>
        <v/>
      </c>
      <c r="H12" s="4">
        <f>COUNTIF('COM-09'!$O:$O,"Fail")</f>
        <v/>
      </c>
      <c r="I12" s="4">
        <f>COUNTIF('COM-09'!$O:$O,"Blocked")</f>
        <v/>
      </c>
      <c r="J12" s="4">
        <f>COUNTIF('COM-09'!$O:$O,"Not Run")</f>
        <v/>
      </c>
      <c r="K12" s="7">
        <f>IF(C12=0,0,G12/C12)</f>
        <v/>
      </c>
    </row>
    <row r="13">
      <c r="A13" s="8" t="inlineStr">
        <is>
          <t>UC-COM-10</t>
        </is>
      </c>
      <c r="B13" s="5" t="inlineStr">
        <is>
          <t>Tìm kiếm toàn hệ thống</t>
        </is>
      </c>
      <c r="C13" s="5" t="n">
        <v>11</v>
      </c>
      <c r="D13" s="5" t="n">
        <v>5</v>
      </c>
      <c r="E13" s="5" t="n">
        <v>6</v>
      </c>
      <c r="F13" s="5" t="n">
        <v>0</v>
      </c>
      <c r="G13" s="5">
        <f>COUNTIF('COM-10'!$O:$O,"Pass")</f>
        <v/>
      </c>
      <c r="H13" s="5">
        <f>COUNTIF('COM-10'!$O:$O,"Fail")</f>
        <v/>
      </c>
      <c r="I13" s="5">
        <f>COUNTIF('COM-10'!$O:$O,"Blocked")</f>
        <v/>
      </c>
      <c r="J13" s="5">
        <f>COUNTIF('COM-10'!$O:$O,"Not Run")</f>
        <v/>
      </c>
      <c r="K13" s="9">
        <f>IF(C13=0,0,G13/C13)</f>
        <v/>
      </c>
    </row>
    <row r="14">
      <c r="A14" s="6" t="inlineStr">
        <is>
          <t>UC-COM-11</t>
        </is>
      </c>
      <c r="B14" s="4" t="inlineStr">
        <is>
          <t>Xem việc cần xử lý</t>
        </is>
      </c>
      <c r="C14" s="4" t="n">
        <v>12</v>
      </c>
      <c r="D14" s="4" t="n">
        <v>3</v>
      </c>
      <c r="E14" s="4" t="n">
        <v>9</v>
      </c>
      <c r="F14" s="4" t="n">
        <v>0</v>
      </c>
      <c r="G14" s="4">
        <f>COUNTIF('COM-11'!$O:$O,"Pass")</f>
        <v/>
      </c>
      <c r="H14" s="4">
        <f>COUNTIF('COM-11'!$O:$O,"Fail")</f>
        <v/>
      </c>
      <c r="I14" s="4">
        <f>COUNTIF('COM-11'!$O:$O,"Blocked")</f>
        <v/>
      </c>
      <c r="J14" s="4">
        <f>COUNTIF('COM-11'!$O:$O,"Not Run")</f>
        <v/>
      </c>
      <c r="K14" s="7">
        <f>IF(C14=0,0,G14/C14)</f>
        <v/>
      </c>
    </row>
    <row r="15">
      <c r="A15" s="8" t="inlineStr">
        <is>
          <t>UC-COM-12</t>
        </is>
      </c>
      <c r="B15" s="5" t="inlineStr">
        <is>
          <t>Sử dụng AI Assistant</t>
        </is>
      </c>
      <c r="C15" s="5" t="n">
        <v>16</v>
      </c>
      <c r="D15" s="5" t="n">
        <v>5</v>
      </c>
      <c r="E15" s="5" t="n">
        <v>11</v>
      </c>
      <c r="F15" s="5" t="n">
        <v>0</v>
      </c>
      <c r="G15" s="5">
        <f>COUNTIF('COM-12'!$O:$O,"Pass")</f>
        <v/>
      </c>
      <c r="H15" s="5">
        <f>COUNTIF('COM-12'!$O:$O,"Fail")</f>
        <v/>
      </c>
      <c r="I15" s="5">
        <f>COUNTIF('COM-12'!$O:$O,"Blocked")</f>
        <v/>
      </c>
      <c r="J15" s="5">
        <f>COUNTIF('COM-12'!$O:$O,"Not Run")</f>
        <v/>
      </c>
      <c r="K15" s="9">
        <f>IF(C15=0,0,G15/C15)</f>
        <v/>
      </c>
    </row>
    <row r="16">
      <c r="A16" s="10" t="inlineStr">
        <is>
          <t>TOTAL</t>
        </is>
      </c>
      <c r="B16" s="10" t="inlineStr">
        <is>
          <t>UC-COM-01 đến UC-COM-12</t>
        </is>
      </c>
      <c r="C16" s="10">
        <f>SUM(C4:C15)</f>
        <v/>
      </c>
      <c r="D16" s="10">
        <f>SUM(D4:D15)</f>
        <v/>
      </c>
      <c r="E16" s="10">
        <f>SUM(E4:E15)</f>
        <v/>
      </c>
      <c r="F16" s="10">
        <f>SUM(F4:F15)</f>
        <v/>
      </c>
      <c r="G16" s="10">
        <f>SUM(G4:G15)</f>
        <v/>
      </c>
      <c r="H16" s="10">
        <f>SUM(H4:H15)</f>
        <v/>
      </c>
      <c r="I16" s="10">
        <f>SUM(I4:I15)</f>
        <v/>
      </c>
      <c r="J16" s="10">
        <f>SUM(J4:J15)</f>
        <v/>
      </c>
      <c r="K16" s="11">
        <f>IF(C16=0,0,G16/C16)</f>
        <v/>
      </c>
    </row>
    <row r="18">
      <c r="A18" s="12" t="inlineStr">
        <is>
          <t>Environment</t>
        </is>
      </c>
      <c r="B18" s="13" t="inlineStr">
        <is>
          <t>Staging</t>
        </is>
      </c>
    </row>
    <row r="19">
      <c r="A19" s="12" t="inlineStr">
        <is>
          <t>Build/Commit</t>
        </is>
      </c>
      <c r="B19" s="13" t="inlineStr"/>
    </row>
    <row r="20">
      <c r="A20" s="12" t="inlineStr">
        <is>
          <t>Test cycle</t>
        </is>
      </c>
      <c r="B20" s="13" t="inlineStr"/>
    </row>
    <row r="21">
      <c r="A21" s="12" t="inlineStr">
        <is>
          <t>Người phụ trách</t>
        </is>
      </c>
      <c r="B21" s="13" t="inlineStr"/>
    </row>
    <row r="22">
      <c r="A22" s="12" t="inlineStr">
        <is>
          <t>Ngày bắt đầu/kết thúc</t>
        </is>
      </c>
      <c r="B22" s="13" t="inlineStr"/>
    </row>
  </sheetData>
  <autoFilter ref="A3:K16"/>
  <mergeCells count="2">
    <mergeCell ref="A2:K2"/>
    <mergeCell ref="A1:K1"/>
  </mergeCells>
  <hyperlinks>
    <hyperlink xmlns:r="http://schemas.openxmlformats.org/officeDocument/2006/relationships" ref="A4" r:id="rId1"/>
    <hyperlink xmlns:r="http://schemas.openxmlformats.org/officeDocument/2006/relationships" ref="A5" r:id="rId2"/>
    <hyperlink xmlns:r="http://schemas.openxmlformats.org/officeDocument/2006/relationships" ref="A6"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 xmlns:r="http://schemas.openxmlformats.org/officeDocument/2006/relationships" ref="A11" r:id="rId8"/>
    <hyperlink xmlns:r="http://schemas.openxmlformats.org/officeDocument/2006/relationships" ref="A12" r:id="rId9"/>
    <hyperlink xmlns:r="http://schemas.openxmlformats.org/officeDocument/2006/relationships" ref="A13" r:id="rId10"/>
    <hyperlink xmlns:r="http://schemas.openxmlformats.org/officeDocument/2006/relationships" ref="A14" r:id="rId11"/>
    <hyperlink xmlns:r="http://schemas.openxmlformats.org/officeDocument/2006/relationships" ref="A15" r:id="rId1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pane ySplit="3" topLeftCell="A4" activePane="bottomLeft" state="frozen"/>
      <selection pane="bottomLeft" activeCell="A1" sqref="A1"/>
    </sheetView>
  </sheetViews>
  <sheetFormatPr baseColWidth="8" defaultRowHeight="15"/>
  <cols>
    <col width="14" customWidth="1" min="1" max="1"/>
    <col width="27" customWidth="1" min="2" max="2"/>
    <col width="38" customWidth="1" min="3" max="3"/>
    <col width="28" customWidth="1" min="4" max="4"/>
    <col width="30" customWidth="1" min="5" max="5"/>
    <col width="36" customWidth="1" min="6" max="6"/>
  </cols>
  <sheetData>
    <row r="1" ht="32" customHeight="1">
      <c r="A1" s="1" t="inlineStr">
        <is>
          <t>DỮ LIỆU VÀ TÀI KHOẢN KIỂM THỬ</t>
        </is>
      </c>
    </row>
    <row r="2" ht="30" customHeight="1">
      <c r="A2" s="2" t="inlineStr">
        <is>
          <t>Thay giá trị placeholder bằng credential/UUID của môi trường; không ghi mật khẩu production</t>
        </is>
      </c>
    </row>
    <row r="3" ht="38" customHeight="1">
      <c r="A3" s="3" t="inlineStr">
        <is>
          <t>Mã</t>
        </is>
      </c>
      <c r="B3" s="3" t="inlineStr">
        <is>
          <t>Đối tượng</t>
        </is>
      </c>
      <c r="C3" s="3" t="inlineStr">
        <is>
          <t>Trạng thái/Quyền</t>
        </is>
      </c>
      <c r="D3" s="3" t="inlineStr">
        <is>
          <t>Doanh nghiệp/Chi nhánh</t>
        </is>
      </c>
      <c r="E3" s="3" t="inlineStr">
        <is>
          <t>Mục đích</t>
        </is>
      </c>
      <c r="F3" s="3" t="inlineStr">
        <is>
          <t>Giá trị môi trường</t>
        </is>
      </c>
    </row>
    <row r="4" ht="42" customHeight="1">
      <c r="A4" s="4" t="inlineStr">
        <is>
          <t>U0</t>
        </is>
      </c>
      <c r="B4" s="4" t="inlineStr">
        <is>
          <t>Khách chưa đăng ký</t>
        </is>
      </c>
      <c r="C4" s="4" t="inlineStr">
        <is>
          <t>Anonymous</t>
        </is>
      </c>
      <c r="D4" s="4" t="inlineStr">
        <is>
          <t>-</t>
        </is>
      </c>
      <c r="E4" s="4" t="inlineStr">
        <is>
          <t>Đăng ký</t>
        </is>
      </c>
      <c r="F4" s="4" t="inlineStr"/>
    </row>
    <row r="5" ht="42" customHeight="1">
      <c r="A5" s="5" t="inlineStr">
        <is>
          <t>U1</t>
        </is>
      </c>
      <c r="B5" s="5" t="inlineStr">
        <is>
          <t>Tài khoản chờ xác thực</t>
        </is>
      </c>
      <c r="C5" s="5" t="inlineStr">
        <is>
          <t>INACTIVE/UNVERIFIED</t>
        </is>
      </c>
      <c r="D5" s="5" t="inlineStr">
        <is>
          <t>-</t>
        </is>
      </c>
      <c r="E5" s="5" t="inlineStr">
        <is>
          <t>OTP, pending login</t>
        </is>
      </c>
      <c r="F5" s="5" t="inlineStr"/>
    </row>
    <row r="6" ht="42" customHeight="1">
      <c r="A6" s="4" t="inlineStr">
        <is>
          <t>U2</t>
        </is>
      </c>
      <c r="B6" s="4" t="inlineStr">
        <is>
          <t>User đã verify</t>
        </is>
      </c>
      <c r="C6" s="4" t="inlineStr">
        <is>
          <t>ACTIVE, chưa có membership</t>
        </is>
      </c>
      <c r="D6" s="4" t="inlineStr">
        <is>
          <t>-</t>
        </is>
      </c>
      <c r="E6" s="4" t="inlineStr">
        <is>
          <t>Join request/company setup</t>
        </is>
      </c>
      <c r="F6" s="4" t="inlineStr"/>
    </row>
    <row r="7" ht="42" customHeight="1">
      <c r="A7" s="5" t="inlineStr">
        <is>
          <t>U3</t>
        </is>
      </c>
      <c r="B7" s="5" t="inlineStr">
        <is>
          <t>User toàn quyền</t>
        </is>
      </c>
      <c r="C7" s="5" t="inlineStr">
        <is>
          <t>ACTIVE, full Permission/Data Scope</t>
        </is>
      </c>
      <c r="D7" s="5" t="inlineStr">
        <is>
          <t>C1 / all branches</t>
        </is>
      </c>
      <c r="E7" s="5" t="inlineStr">
        <is>
          <t>Happy path</t>
        </is>
      </c>
      <c r="F7" s="5" t="inlineStr"/>
    </row>
    <row r="8" ht="42" customHeight="1">
      <c r="A8" s="4" t="inlineStr">
        <is>
          <t>U4</t>
        </is>
      </c>
      <c r="B8" s="4" t="inlineStr">
        <is>
          <t>User hạn chế</t>
        </is>
      </c>
      <c r="C8" s="4" t="inlineStr">
        <is>
          <t>ACTIVE, chỉ B1</t>
        </is>
      </c>
      <c r="D8" s="4" t="inlineStr">
        <is>
          <t>C1 / B1</t>
        </is>
      </c>
      <c r="E8" s="4" t="inlineStr">
        <is>
          <t>Negative scope</t>
        </is>
      </c>
      <c r="F8" s="4" t="inlineStr"/>
    </row>
    <row r="9" ht="42" customHeight="1">
      <c r="A9" s="5" t="inlineStr">
        <is>
          <t>U5</t>
        </is>
      </c>
      <c r="B9" s="5" t="inlineStr">
        <is>
          <t>User đa doanh nghiệp</t>
        </is>
      </c>
      <c r="C9" s="5" t="inlineStr">
        <is>
          <t>ACTIVE</t>
        </is>
      </c>
      <c r="D9" s="5" t="inlineStr">
        <is>
          <t>C1 + C2</t>
        </is>
      </c>
      <c r="E9" s="5" t="inlineStr">
        <is>
          <t>Company selection/switch</t>
        </is>
      </c>
      <c r="F9" s="5" t="inlineStr"/>
    </row>
    <row r="10" ht="42" customHeight="1">
      <c r="A10" s="4" t="inlineStr">
        <is>
          <t>U6</t>
        </is>
      </c>
      <c r="B10" s="4" t="inlineStr">
        <is>
          <t>User khóa/inactive</t>
        </is>
      </c>
      <c r="C10" s="4" t="inlineStr">
        <is>
          <t>LOCKED hoặc INACTIVE</t>
        </is>
      </c>
      <c r="D10" s="4" t="inlineStr">
        <is>
          <t>C1</t>
        </is>
      </c>
      <c r="E10" s="4" t="inlineStr">
        <is>
          <t>Negative authentication</t>
        </is>
      </c>
      <c r="F10" s="4" t="inlineStr"/>
    </row>
    <row r="11" ht="42" customHeight="1">
      <c r="A11" s="5" t="inlineStr">
        <is>
          <t>U7</t>
        </is>
      </c>
      <c r="B11" s="5" t="inlineStr">
        <is>
          <t>Admin duyệt</t>
        </is>
      </c>
      <c r="C11" s="5" t="inlineStr">
        <is>
          <t>COM.JOIN_REQUEST.VIEW/APPROVE</t>
        </is>
      </c>
      <c r="D11" s="5" t="inlineStr">
        <is>
          <t>C1</t>
        </is>
      </c>
      <c r="E11" s="5" t="inlineStr">
        <is>
          <t>Duyệt/từ chối join request</t>
        </is>
      </c>
      <c r="F11" s="5" t="inlineStr"/>
    </row>
    <row r="12" ht="42" customHeight="1">
      <c r="A12" s="4" t="inlineStr">
        <is>
          <t>U8</t>
        </is>
      </c>
      <c r="B12" s="4" t="inlineStr">
        <is>
          <t>User tenant khác</t>
        </is>
      </c>
      <c r="C12" s="4" t="inlineStr">
        <is>
          <t>ACTIVE</t>
        </is>
      </c>
      <c r="D12" s="4" t="inlineStr">
        <is>
          <t>C2</t>
        </is>
      </c>
      <c r="E12" s="4" t="inlineStr">
        <is>
          <t>Tenant isolation/IDOR</t>
        </is>
      </c>
      <c r="F12" s="4" t="inlineStr"/>
    </row>
    <row r="13" ht="42" customHeight="1">
      <c r="A13" s="5" t="inlineStr">
        <is>
          <t>C1</t>
        </is>
      </c>
      <c r="B13" s="5" t="inlineStr">
        <is>
          <t>Doanh nghiệp chính</t>
        </is>
      </c>
      <c r="C13" s="5" t="inlineStr">
        <is>
          <t>ACTIVE</t>
        </is>
      </c>
      <c r="D13" s="5" t="inlineStr">
        <is>
          <t>B1+B2+branch inactive</t>
        </is>
      </c>
      <c r="E13" s="5" t="inlineStr">
        <is>
          <t>Test tenant chính</t>
        </is>
      </c>
      <c r="F13" s="5" t="inlineStr"/>
    </row>
    <row r="14" ht="42" customHeight="1">
      <c r="A14" s="4" t="inlineStr">
        <is>
          <t>C2</t>
        </is>
      </c>
      <c r="B14" s="4" t="inlineStr">
        <is>
          <t>Doanh nghiệp khác</t>
        </is>
      </c>
      <c r="C14" s="4" t="inlineStr">
        <is>
          <t>ACTIVE</t>
        </is>
      </c>
      <c r="D14" s="4" t="inlineStr">
        <is>
          <t>B3</t>
        </is>
      </c>
      <c r="E14" s="4" t="inlineStr">
        <is>
          <t>Test cách ly tenant</t>
        </is>
      </c>
      <c r="F14" s="4" t="inlineStr"/>
    </row>
    <row r="15" ht="42" customHeight="1">
      <c r="A15" s="5" t="inlineStr">
        <is>
          <t>S1/S2</t>
        </is>
      </c>
      <c r="B15" s="5" t="inlineStr">
        <is>
          <t>Hai login session</t>
        </is>
      </c>
      <c r="C15" s="5" t="inlineStr">
        <is>
          <t>ACTIVE</t>
        </is>
      </c>
      <c r="D15" s="5" t="inlineStr">
        <is>
          <t>Hai thiết bị/IP/User-Agent</t>
        </is>
      </c>
      <c r="E15" s="5" t="inlineStr">
        <is>
          <t>Session revocation</t>
        </is>
      </c>
      <c r="F15" s="5" t="inlineStr"/>
    </row>
    <row r="16" ht="42" customHeight="1">
      <c r="A16" s="4" t="inlineStr">
        <is>
          <t>N1–N6</t>
        </is>
      </c>
      <c r="B16" s="4" t="inlineStr">
        <is>
          <t>Thông báo mẫu</t>
        </is>
      </c>
      <c r="C16" s="4" t="inlineStr">
        <is>
          <t>Unread/read/expired/archived/global/no-permission</t>
        </is>
      </c>
      <c r="D16" s="4" t="inlineStr">
        <is>
          <t>C1/C2</t>
        </is>
      </c>
      <c r="E16" s="4" t="inlineStr">
        <is>
          <t>UC-COM-09</t>
        </is>
      </c>
      <c r="F16" s="4" t="inlineStr"/>
    </row>
    <row r="17" ht="42" customHeight="1">
      <c r="A17" s="5" t="inlineStr">
        <is>
          <t>W1–W6</t>
        </is>
      </c>
      <c r="B17" s="5" t="inlineStr">
        <is>
          <t>Work-item mẫu</t>
        </is>
      </c>
      <c r="C17" s="5" t="inlineStr">
        <is>
          <t>Pending/in-progress/overdue/completed/cancelled</t>
        </is>
      </c>
      <c r="D17" s="5" t="inlineStr">
        <is>
          <t>C1/B1/B2</t>
        </is>
      </c>
      <c r="E17" s="5" t="inlineStr">
        <is>
          <t>UC-COM-11</t>
        </is>
      </c>
      <c r="F17" s="5" t="inlineStr"/>
    </row>
    <row r="18" ht="42" customHeight="1">
      <c r="A18" s="4" t="inlineStr">
        <is>
          <t>A1–A4</t>
        </is>
      </c>
      <c r="B18" s="4" t="inlineStr">
        <is>
          <t>Cấu hình AI</t>
        </is>
      </c>
      <c r="C18" s="4" t="inlineStr">
        <is>
          <t>OFF/ON-no-data/success/error-timeout</t>
        </is>
      </c>
      <c r="D18" s="4" t="inlineStr">
        <is>
          <t>C1</t>
        </is>
      </c>
      <c r="E18" s="4" t="inlineStr">
        <is>
          <t>UC-COM-12</t>
        </is>
      </c>
      <c r="F18" s="4" t="inlineStr"/>
    </row>
  </sheetData>
  <autoFilter ref="A3:F18"/>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15" customWidth="1" min="1" max="1"/>
    <col width="38" customWidth="1" min="2" max="2"/>
    <col width="18" customWidth="1" min="3" max="3"/>
    <col width="58" customWidth="1" min="4" max="4"/>
    <col width="14" customWidth="1" min="5" max="5"/>
    <col width="95" customWidth="1" min="6" max="6"/>
  </cols>
  <sheetData>
    <row r="1" ht="32" customHeight="1">
      <c r="A1" s="1" t="inlineStr">
        <is>
          <t>MA TRẬN TRUY VẾT</t>
        </is>
      </c>
    </row>
    <row r="2" ht="30" customHeight="1">
      <c r="A2" s="2" t="inlineStr">
        <is>
          <t>Liên kết Use Case → nguồn Notion → API → test case</t>
        </is>
      </c>
    </row>
    <row r="3" ht="38" customHeight="1">
      <c r="A3" s="3" t="inlineStr">
        <is>
          <t>UC ID</t>
        </is>
      </c>
      <c r="B3" s="3" t="inlineStr">
        <is>
          <t>Tên use case</t>
        </is>
      </c>
      <c r="C3" s="3" t="inlineStr">
        <is>
          <t>Nguồn Notion</t>
        </is>
      </c>
      <c r="D3" s="3" t="inlineStr">
        <is>
          <t>API chính</t>
        </is>
      </c>
      <c r="E3" s="3" t="inlineStr">
        <is>
          <t>Số test case</t>
        </is>
      </c>
      <c r="F3" s="3" t="inlineStr">
        <is>
          <t>Test Case IDs</t>
        </is>
      </c>
    </row>
    <row r="4" ht="72" customHeight="1">
      <c r="A4" s="4" t="inlineStr">
        <is>
          <t>UC-COM-01</t>
        </is>
      </c>
      <c r="B4" s="4" t="inlineStr">
        <is>
          <t>Đăng ký và xác thực tài khoản</t>
        </is>
      </c>
      <c r="C4" s="6" t="inlineStr">
        <is>
          <t>Mở đặc tả</t>
        </is>
      </c>
      <c r="D4" s="4" t="inlineStr">
        <is>
          <t>POST /api/v1/common/auth/register/
POST /api/v1/common/auth/verify-registration/
POST /api/v1/common/auth/resend-verification/
POST /api/v1/common/auth/change-registration-email/</t>
        </is>
      </c>
      <c r="E4" s="4" t="n">
        <v>14</v>
      </c>
      <c r="F4" s="4" t="inlineStr">
        <is>
          <t>COM01-01, COM01-02, COM01-03, COM01-04, COM01-05, COM01-06, COM01-07, COM01-08, COM01-09, COM01-10, COM01-11, COM01-12, COM01-13, COM01-14</t>
        </is>
      </c>
    </row>
    <row r="5" ht="72" customHeight="1">
      <c r="A5" s="5" t="inlineStr">
        <is>
          <t>UC-COM-02</t>
        </is>
      </c>
      <c r="B5" s="5" t="inlineStr">
        <is>
          <t>Gửi yêu cầu tham gia doanh nghiệp</t>
        </is>
      </c>
      <c r="C5" s="8" t="inlineStr">
        <is>
          <t>Mở đặc tả</t>
        </is>
      </c>
      <c r="D5" s="5" t="inlineStr">
        <is>
          <t>GET /api/v1/common/companies/search/
GET|POST /api/v1/common/join-requests/
POST /api/v1/common/join-requests/{id}/cancel/
GET /api/v1/common/company-join-requests/
POST /api/v1/common/company-join-requests/{id}/decide/</t>
        </is>
      </c>
      <c r="E5" s="5" t="n">
        <v>14</v>
      </c>
      <c r="F5" s="5" t="inlineStr">
        <is>
          <t>COM02-01, COM02-02, COM02-03, COM02-04, COM02-05, COM02-06, COM02-07, COM02-08, COM02-09, COM02-10, COM02-11, COM02-12, COM02-13, COM02-14</t>
        </is>
      </c>
    </row>
    <row r="6" ht="72" customHeight="1">
      <c r="A6" s="4" t="inlineStr">
        <is>
          <t>UC-COM-03</t>
        </is>
      </c>
      <c r="B6" s="4" t="inlineStr">
        <is>
          <t>Đăng nhập</t>
        </is>
      </c>
      <c r="C6" s="6" t="inlineStr">
        <is>
          <t>Mở đặc tả</t>
        </is>
      </c>
      <c r="D6" s="4" t="inlineStr">
        <is>
          <t>POST /api/v1/common/auth/login/
POST /api/token/refresh/</t>
        </is>
      </c>
      <c r="E6" s="4" t="n">
        <v>13</v>
      </c>
      <c r="F6" s="4" t="inlineStr">
        <is>
          <t>COM03-01, COM03-02, COM03-03, COM03-04, COM03-05, COM03-06, COM03-07, COM03-08, COM03-09, COM03-10, COM03-11, COM03-12, COM03-13</t>
        </is>
      </c>
    </row>
    <row r="7" ht="72" customHeight="1">
      <c r="A7" s="5" t="inlineStr">
        <is>
          <t>UC-COM-04</t>
        </is>
      </c>
      <c r="B7" s="5" t="inlineStr">
        <is>
          <t>Đăng xuất</t>
        </is>
      </c>
      <c r="C7" s="8" t="inlineStr">
        <is>
          <t>Mở đặc tả</t>
        </is>
      </c>
      <c r="D7" s="5" t="inlineStr">
        <is>
          <t>POST /api/v1/common/auth/logout/</t>
        </is>
      </c>
      <c r="E7" s="5" t="n">
        <v>7</v>
      </c>
      <c r="F7" s="5" t="inlineStr">
        <is>
          <t>COM04-01, COM04-02, COM04-03, COM04-04, COM04-05, COM04-06, COM04-07</t>
        </is>
      </c>
    </row>
    <row r="8" ht="72" customHeight="1">
      <c r="A8" s="4" t="inlineStr">
        <is>
          <t>UC-COM-05</t>
        </is>
      </c>
      <c r="B8" s="4" t="inlineStr">
        <is>
          <t>Quên và đặt lại mật khẩu</t>
        </is>
      </c>
      <c r="C8" s="6" t="inlineStr">
        <is>
          <t>Mở đặc tả</t>
        </is>
      </c>
      <c r="D8" s="4" t="inlineStr">
        <is>
          <t>POST /api/v1/common/auth/forgot-password/
POST /api/v1/common/auth/reset-password/</t>
        </is>
      </c>
      <c r="E8" s="4" t="n">
        <v>11</v>
      </c>
      <c r="F8" s="4" t="inlineStr">
        <is>
          <t>COM05-01, COM05-02, COM05-03, COM05-04, COM05-05, COM05-06, COM05-07, COM05-08, COM05-09, COM05-10, COM05-11</t>
        </is>
      </c>
    </row>
    <row r="9" ht="72" customHeight="1">
      <c r="A9" s="5" t="inlineStr">
        <is>
          <t>UC-COM-06</t>
        </is>
      </c>
      <c r="B9" s="5" t="inlineStr">
        <is>
          <t>Đổi mật khẩu</t>
        </is>
      </c>
      <c r="C9" s="8" t="inlineStr">
        <is>
          <t>Mở đặc tả</t>
        </is>
      </c>
      <c r="D9" s="5" t="inlineStr">
        <is>
          <t>POST /api/v1/common/auth/change-password/</t>
        </is>
      </c>
      <c r="E9" s="5" t="n">
        <v>9</v>
      </c>
      <c r="F9" s="5" t="inlineStr">
        <is>
          <t>COM06-01, COM06-02, COM06-03, COM06-04, COM06-05, COM06-06, COM06-07, COM06-08, COM06-09</t>
        </is>
      </c>
    </row>
    <row r="10" ht="72" customHeight="1">
      <c r="A10" s="4" t="inlineStr">
        <is>
          <t>UC-COM-07</t>
        </is>
      </c>
      <c r="B10" s="4" t="inlineStr">
        <is>
          <t>Quản lý tài khoản cá nhân</t>
        </is>
      </c>
      <c r="C10" s="6" t="inlineStr">
        <is>
          <t>Mở đặc tả</t>
        </is>
      </c>
      <c r="D10" s="4" t="inlineStr">
        <is>
          <t>GET|PATCH /api/v1/common/profile/
POST /api/v1/common/profile/confirm-email/</t>
        </is>
      </c>
      <c r="E10" s="4" t="n">
        <v>12</v>
      </c>
      <c r="F10" s="4" t="inlineStr">
        <is>
          <t>COM07-01, COM07-02, COM07-03, COM07-04, COM07-05, COM07-06, COM07-07, COM07-08, COM07-09, COM07-10, COM07-11, COM07-12</t>
        </is>
      </c>
    </row>
    <row r="11" ht="72" customHeight="1">
      <c r="A11" s="5" t="inlineStr">
        <is>
          <t>UC-COM-08</t>
        </is>
      </c>
      <c r="B11" s="5" t="inlineStr">
        <is>
          <t>Chuyển phạm vi làm việc</t>
        </is>
      </c>
      <c r="C11" s="8" t="inlineStr">
        <is>
          <t>Mở đặc tả</t>
        </is>
      </c>
      <c r="D11" s="5" t="inlineStr">
        <is>
          <t>GET /api/v1/common/scopes/
GET /api/v1/common/companies/mine/
POST /api/v1/common/companies/switch/</t>
        </is>
      </c>
      <c r="E11" s="5" t="n">
        <v>11</v>
      </c>
      <c r="F11" s="5" t="inlineStr">
        <is>
          <t>COM08-01, COM08-02, COM08-03, COM08-04, COM08-05, COM08-06, COM08-07, COM08-08, COM08-09, COM08-10, COM08-11</t>
        </is>
      </c>
    </row>
    <row r="12" ht="72" customHeight="1">
      <c r="A12" s="4" t="inlineStr">
        <is>
          <t>UC-COM-09</t>
        </is>
      </c>
      <c r="B12" s="4" t="inlineStr">
        <is>
          <t>Xem và xử lý thông báo</t>
        </is>
      </c>
      <c r="C12" s="6" t="inlineStr">
        <is>
          <t>Mở đặc tả</t>
        </is>
      </c>
      <c r="D12" s="4" t="inlineStr">
        <is>
          <t>GET /api/v1/common/notifications/
POST /api/v1/common/notifications/{id}/{read|unread|archive|open}/
POST /api/v1/common/notifications/read-all/
GET /api/v1/common/notifications/unread-count/</t>
        </is>
      </c>
      <c r="E12" s="4" t="n">
        <v>12</v>
      </c>
      <c r="F12" s="4" t="inlineStr">
        <is>
          <t>COM09-01, COM09-02, COM09-03, COM09-04, COM09-05, COM09-06, COM09-07, COM09-08, COM09-09, COM09-10, COM09-11, COM09-12</t>
        </is>
      </c>
    </row>
    <row r="13" ht="72" customHeight="1">
      <c r="A13" s="5" t="inlineStr">
        <is>
          <t>UC-COM-10</t>
        </is>
      </c>
      <c r="B13" s="5" t="inlineStr">
        <is>
          <t>Tìm kiếm toàn hệ thống</t>
        </is>
      </c>
      <c r="C13" s="8" t="inlineStr">
        <is>
          <t>Mở đặc tả</t>
        </is>
      </c>
      <c r="D13" s="5" t="inlineStr">
        <is>
          <t>GET /api/v1/common/search/
POST /api/v1/common/search/open/</t>
        </is>
      </c>
      <c r="E13" s="5" t="n">
        <v>11</v>
      </c>
      <c r="F13" s="5" t="inlineStr">
        <is>
          <t>COM10-01, COM10-02, COM10-03, COM10-04, COM10-05, COM10-06, COM10-07, COM10-08, COM10-09, COM10-10, COM10-11</t>
        </is>
      </c>
    </row>
    <row r="14" ht="72" customHeight="1">
      <c r="A14" s="4" t="inlineStr">
        <is>
          <t>UC-COM-11</t>
        </is>
      </c>
      <c r="B14" s="4" t="inlineStr">
        <is>
          <t>Xem việc cần xử lý</t>
        </is>
      </c>
      <c r="C14" s="6" t="inlineStr">
        <is>
          <t>Mở đặc tả</t>
        </is>
      </c>
      <c r="D14" s="4" t="inlineStr">
        <is>
          <t>GET /api/v1/common/work-items/
GET /api/v1/common/work-items/count/
POST /api/v1/common/work-items/{id}/open/
GET /api/v1/common/work-items/{id}/history/</t>
        </is>
      </c>
      <c r="E14" s="4" t="n">
        <v>12</v>
      </c>
      <c r="F14" s="4" t="inlineStr">
        <is>
          <t>COM11-01, COM11-02, COM11-03, COM11-04, COM11-05, COM11-06, COM11-07, COM11-08, COM11-09, COM11-10, COM11-11, COM11-12</t>
        </is>
      </c>
    </row>
    <row r="15" ht="72" customHeight="1">
      <c r="A15" s="5" t="inlineStr">
        <is>
          <t>UC-COM-12</t>
        </is>
      </c>
      <c r="B15" s="5" t="inlineStr">
        <is>
          <t>Sử dụng AI Assistant</t>
        </is>
      </c>
      <c r="C15" s="8" t="inlineStr">
        <is>
          <t>Mở đặc tả</t>
        </is>
      </c>
      <c r="D15" s="5" t="inlineStr">
        <is>
          <t>GET|POST /api/v1/common/ai-conversations/
POST /api/v1/common/ai/query/
POST /api/v1/common/ai/{id}/{confirm|feedback}/
POST /api/v1/common/ai/{id}/source/{index}/</t>
        </is>
      </c>
      <c r="E15" s="5" t="n">
        <v>16</v>
      </c>
      <c r="F15" s="5" t="inlineStr">
        <is>
          <t>COM12-01, COM12-02, COM12-03, COM12-04, COM12-05, COM12-06, COM12-07, COM12-08, COM12-09, COM12-10, COM12-11, COM12-12, COM12-13, COM12-14, COM12-15, COM12-16</t>
        </is>
      </c>
    </row>
  </sheetData>
  <autoFilter ref="A3:F15"/>
  <mergeCells count="2">
    <mergeCell ref="A2:F2"/>
    <mergeCell ref="A1:F1"/>
  </mergeCells>
  <hyperlinks>
    <hyperlink xmlns:r="http://schemas.openxmlformats.org/officeDocument/2006/relationships" ref="C4" r:id="rId1"/>
    <hyperlink xmlns:r="http://schemas.openxmlformats.org/officeDocument/2006/relationships" ref="C5" r:id="rId2"/>
    <hyperlink xmlns:r="http://schemas.openxmlformats.org/officeDocument/2006/relationships" ref="C6" r:id="rId3"/>
    <hyperlink xmlns:r="http://schemas.openxmlformats.org/officeDocument/2006/relationships" ref="C7" r:id="rId4"/>
    <hyperlink xmlns:r="http://schemas.openxmlformats.org/officeDocument/2006/relationships" ref="C8" r:id="rId5"/>
    <hyperlink xmlns:r="http://schemas.openxmlformats.org/officeDocument/2006/relationships" ref="C9" r:id="rId6"/>
    <hyperlink xmlns:r="http://schemas.openxmlformats.org/officeDocument/2006/relationships" ref="C10" r:id="rId7"/>
    <hyperlink xmlns:r="http://schemas.openxmlformats.org/officeDocument/2006/relationships" ref="C11" r:id="rId8"/>
    <hyperlink xmlns:r="http://schemas.openxmlformats.org/officeDocument/2006/relationships" ref="C12" r:id="rId9"/>
    <hyperlink xmlns:r="http://schemas.openxmlformats.org/officeDocument/2006/relationships" ref="C13" r:id="rId10"/>
    <hyperlink xmlns:r="http://schemas.openxmlformats.org/officeDocument/2006/relationships" ref="C14" r:id="rId11"/>
    <hyperlink xmlns:r="http://schemas.openxmlformats.org/officeDocument/2006/relationships" ref="C15" r:id="rId1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49"/>
  <sheetViews>
    <sheetView showGridLines="0" workbookViewId="0">
      <pane xSplit="5" ySplit="3" topLeftCell="F4" activePane="bottomRight" state="frozen"/>
      <selection pane="topRight"/>
      <selection pane="bottomLeft"/>
      <selection pane="bottomRight" activeCell="A1" sqref="A1"/>
    </sheetView>
  </sheetViews>
  <sheetFormatPr baseColWidth="8" defaultRowHeight="15"/>
  <cols>
    <col width="16" customWidth="1" min="1" max="1"/>
    <col width="15" customWidth="1" min="2" max="2"/>
    <col width="14" customWidth="1" min="3" max="3"/>
    <col width="42" customWidth="1" min="4" max="4"/>
    <col width="10" customWidth="1" min="5" max="5"/>
    <col width="62" customWidth="1" min="6" max="6"/>
    <col width="28" customWidth="1" min="7" max="7"/>
    <col width="36" customWidth="1" min="8" max="8"/>
    <col width="38" customWidth="1" min="9" max="9"/>
    <col width="42" customWidth="1" min="10" max="10"/>
    <col width="58" customWidth="1" min="11" max="11"/>
    <col width="62" customWidth="1" min="12" max="12"/>
    <col width="16" customWidth="1" min="13" max="13"/>
    <col width="60" customWidth="1" min="14" max="14"/>
    <col width="72" customWidth="1" min="15" max="15"/>
    <col width="13" customWidth="1" min="16" max="16"/>
    <col width="48" customWidth="1" min="17" max="17"/>
    <col width="20" customWidth="1" min="18" max="18"/>
    <col width="14" customWidth="1" min="19" max="19"/>
    <col width="18" customWidth="1" min="20" max="20"/>
    <col width="30" customWidth="1" min="21" max="21"/>
    <col width="20" customWidth="1" min="22" max="22"/>
  </cols>
  <sheetData>
    <row r="1" ht="32" customHeight="1">
      <c r="A1" s="21" t="inlineStr">
        <is>
          <t>POSTMAN – REQUEST THỰC THI CHI TIẾT</t>
        </is>
      </c>
    </row>
    <row r="2">
      <c r="A2" s="22" t="inlineStr">
        <is>
          <t>Mỗi dòng là một HTTP request. Chỉ sửa các ô màu vàng từ Status đến Evidence; request/input lấy nguyên văn từ các cột bên trái.</t>
        </is>
      </c>
    </row>
    <row r="3">
      <c r="A3" s="23" t="inlineStr">
        <is>
          <t>Request ID</t>
        </is>
      </c>
      <c r="B3" s="23" t="inlineStr">
        <is>
          <t>Test Case ID</t>
        </is>
      </c>
      <c r="C3" s="23" t="inlineStr">
        <is>
          <t>UC ID</t>
        </is>
      </c>
      <c r="D3" s="23" t="inlineStr">
        <is>
          <t>Tên test case</t>
        </is>
      </c>
      <c r="E3" s="23" t="inlineStr">
        <is>
          <t>Method</t>
        </is>
      </c>
      <c r="F3" s="23" t="inlineStr">
        <is>
          <t>Request URL</t>
        </is>
      </c>
      <c r="G3" s="23" t="inlineStr">
        <is>
          <t>Tài khoản/Token</t>
        </is>
      </c>
      <c r="H3" s="23" t="inlineStr">
        <is>
          <t>Path variables</t>
        </is>
      </c>
      <c r="I3" s="23" t="inlineStr">
        <is>
          <t>Query parameters</t>
        </is>
      </c>
      <c r="J3" s="23" t="inlineStr">
        <is>
          <t>Headers</t>
        </is>
      </c>
      <c r="K3" s="23" t="inlineStr">
        <is>
          <t>Request Body</t>
        </is>
      </c>
      <c r="L3" s="23" t="inlineStr">
        <is>
          <t>Chuẩn bị dữ liệu / Cách lấy biến</t>
        </is>
      </c>
      <c r="M3" s="23" t="inlineStr">
        <is>
          <t>Expected HTTP</t>
        </is>
      </c>
      <c r="N3" s="23" t="inlineStr">
        <is>
          <t>Expected response &amp; side effects</t>
        </is>
      </c>
      <c r="O3" s="23" t="inlineStr">
        <is>
          <t>Postman Tests</t>
        </is>
      </c>
      <c r="P3" s="23" t="inlineStr">
        <is>
          <t>Status</t>
        </is>
      </c>
      <c r="Q3" s="23" t="inlineStr">
        <is>
          <t>Actual Result</t>
        </is>
      </c>
      <c r="R3" s="23" t="inlineStr">
        <is>
          <t>Tester</t>
        </is>
      </c>
      <c r="S3" s="23" t="inlineStr">
        <is>
          <t>Ngày chạy</t>
        </is>
      </c>
      <c r="T3" s="23" t="inlineStr">
        <is>
          <t>Defect ID</t>
        </is>
      </c>
      <c r="U3" s="23" t="inlineStr">
        <is>
          <t>Evidence/Link</t>
        </is>
      </c>
      <c r="V3" s="23" t="inlineStr">
        <is>
          <t>Kiểm tra nhập liệu</t>
        </is>
      </c>
    </row>
    <row r="4" ht="125" customHeight="1">
      <c r="A4" s="24" t="inlineStr">
        <is>
          <t>COM01-01</t>
        </is>
      </c>
      <c r="B4" s="24" t="inlineStr">
        <is>
          <t>COM01-01</t>
        </is>
      </c>
      <c r="C4" s="24" t="inlineStr">
        <is>
          <t>UC-COM-01</t>
        </is>
      </c>
      <c r="D4" s="24" t="inlineStr">
        <is>
          <t>Đăng ký đủ dữ liệu hợp lệ và chấp nhận điều khoản</t>
        </is>
      </c>
      <c r="E4" s="24" t="inlineStr">
        <is>
          <t>POST</t>
        </is>
      </c>
      <c r="F4" s="24" t="inlineStr">
        <is>
          <t>{{base_url}}/api/v1/common/auth/register/</t>
        </is>
      </c>
      <c r="G4" s="24" t="inlineStr">
        <is>
          <t>Không cần token (public endpoint)</t>
        </is>
      </c>
      <c r="H4" s="24" t="inlineStr">
        <is>
          <t>Các biến {{...}} trong path phải lấy từ response/seed; xem cột chuẩn bị dữ liệu.</t>
        </is>
      </c>
      <c r="I4" s="24" t="inlineStr">
        <is>
          <t>Không có</t>
        </is>
      </c>
      <c r="J4" s="24" t="inlineStr">
        <is>
          <t>Accept: application/json
Content-Type: application/json</t>
        </is>
      </c>
      <c r="K4" s="24" t="inlineStr">
        <is>
          <t>{
  "username": "{{register_username}}",
  "email": "{{register_email}}",
  "phone": "{{register_phone}}",
  "display_name": "Người dùng QA",
  "password": "{{register_password}}",
  "password_confirm": "{{register_password_confirm}}",
  "terms_accepted": true,
  "terms_version": "2026-01",
  "privacy_version": "2026-01"
}</t>
        </is>
      </c>
      <c r="L4" s="24" t="inlineStr">
        <is>
          <t>1. Lấy challenge từ response trước đó và OTP từ email sandbox; không ghi OTP vào defect/evidence.
2. Điền UUID từ dữ liệu seed/staging; không tự đặt UUID giả nếu case yêu cầu object tồn tại.
3. Đối chiếu actor, membership, Permission và Data Scope trong sheet TEST_DATA.</t>
        </is>
      </c>
      <c r="M4" s="24" t="inlineStr">
        <is>
          <t>201</t>
        </is>
      </c>
      <c r="N4" s="24" t="inlineStr">
        <is>
          <t>201; tạo user inactive, IAM account, preference, session state, challenge REGISTER; email OTP được gửi; không trả password/OTP</t>
        </is>
      </c>
      <c r="O4" s="24" t="inlineStr">
        <is>
          <t>pm.test('HTTP thuộc [201]', () =&gt; pm.expect([201]).to.include(pm.response.code));
pm.test('Response không lộ secret', () =&gt; { const t=pm.response.text().toLowerCase(); ['password','refresh_token','access_token','otp_code'].forEach(k =&gt; pm.expect(t).not.to.include(k)); });</t>
        </is>
      </c>
      <c r="P4" s="25" t="inlineStr">
        <is>
          <t>Not Run</t>
        </is>
      </c>
      <c r="Q4" s="25" t="inlineStr"/>
      <c r="R4" s="25" t="inlineStr"/>
      <c r="S4" s="25" t="inlineStr"/>
      <c r="T4" s="25" t="inlineStr"/>
      <c r="U4" s="25" t="inlineStr"/>
      <c r="V4" s="24">
        <f>IF(P4="Not Run","Chưa chạy",IF(R4="","Thiếu Tester",IF(S4="","Thiếu Ngày chạy",IF(Q4="","Thiếu Actual Result",IF(AND(P4="Fail",T4=""),"Thiếu Defect ID",IF(AND(OR(P4="Fail",P4="Blocked"),U4=""),"Thiếu Evidence","Hợp lệ"))))))</f>
        <v/>
      </c>
    </row>
    <row r="5" ht="125" customHeight="1">
      <c r="A5" s="24" t="inlineStr">
        <is>
          <t>COM01-02</t>
        </is>
      </c>
      <c r="B5" s="24" t="inlineStr">
        <is>
          <t>COM01-02</t>
        </is>
      </c>
      <c r="C5" s="24" t="inlineStr">
        <is>
          <t>UC-COM-01</t>
        </is>
      </c>
      <c r="D5" s="24" t="inlineStr">
        <is>
          <t>Xác thực bằng challenge và OTP đúng</t>
        </is>
      </c>
      <c r="E5" s="24" t="inlineStr">
        <is>
          <t>POST</t>
        </is>
      </c>
      <c r="F5" s="24" t="inlineStr">
        <is>
          <t>{{base_url}}/api/v1/common/auth/verify-registration/</t>
        </is>
      </c>
      <c r="G5" s="24" t="inlineStr">
        <is>
          <t>Không cần token (public endpoint)</t>
        </is>
      </c>
      <c r="H5" s="24" t="inlineStr">
        <is>
          <t>Các biến {{...}} trong path phải lấy từ response/seed; xem cột chuẩn bị dữ liệu.</t>
        </is>
      </c>
      <c r="I5" s="24" t="inlineStr">
        <is>
          <t>Không có</t>
        </is>
      </c>
      <c r="J5" s="24" t="inlineStr">
        <is>
          <t>Accept: application/json
Content-Type: application/json</t>
        </is>
      </c>
      <c r="K5" s="24" t="inlineStr">
        <is>
          <t>{
  "challenge": "{{registration_challenge}}",
  "code": "{{otp_code}}"
}</t>
        </is>
      </c>
      <c r="L5" s="24" t="inlineStr">
        <is>
          <t>1. Lấy challenge từ response trước đó và OTP từ email sandbox; không ghi OTP vào defect/evidence.
2. Điền UUID từ dữ liệu seed/staging; không tự đặt UUID giả nếu case yêu cầu object tồn tại.
3. Đối chiếu actor, membership, Permission và Data Scope trong sheet TEST_DATA.</t>
        </is>
      </c>
      <c r="M5" s="24" t="inlineStr">
        <is>
          <t>200</t>
        </is>
      </c>
      <c r="N5" s="24" t="inlineStr">
        <is>
          <t>200; user ACTIVE, email được đánh dấu verified, OTP consumed, trả access/refresh và bước tiếp theo</t>
        </is>
      </c>
      <c r="O5" s="24" t="inlineStr">
        <is>
          <t>pm.test('HTTP thuộc [200]', () =&gt; pm.expect([200]).to.include(pm.response.code));
pm.test('Response không lộ secret', () =&gt; { const t=pm.response.text().toLowerCase(); ['password','refresh_token','access_token','otp_code'].forEach(k =&gt; pm.expect(t).not.to.include(k)); });</t>
        </is>
      </c>
      <c r="P5" s="25" t="inlineStr">
        <is>
          <t>Not Run</t>
        </is>
      </c>
      <c r="Q5" s="25" t="inlineStr"/>
      <c r="R5" s="25" t="inlineStr"/>
      <c r="S5" s="25" t="inlineStr"/>
      <c r="T5" s="25" t="inlineStr"/>
      <c r="U5" s="25" t="inlineStr"/>
      <c r="V5" s="24">
        <f>IF(P5="Not Run","Chưa chạy",IF(R5="","Thiếu Tester",IF(S5="","Thiếu Ngày chạy",IF(Q5="","Thiếu Actual Result",IF(AND(P5="Fail",T5=""),"Thiếu Defect ID",IF(AND(OR(P5="Fail",P5="Blocked"),U5=""),"Thiếu Evidence","Hợp lệ"))))))</f>
        <v/>
      </c>
    </row>
    <row r="6" ht="125" customHeight="1">
      <c r="A6" s="24" t="inlineStr">
        <is>
          <t>COM01-03</t>
        </is>
      </c>
      <c r="B6" s="24" t="inlineStr">
        <is>
          <t>COM01-03</t>
        </is>
      </c>
      <c r="C6" s="24" t="inlineStr">
        <is>
          <t>UC-COM-01</t>
        </is>
      </c>
      <c r="D6" s="24" t="inlineStr">
        <is>
          <t>Nhập sai OTP lần 1–4</t>
        </is>
      </c>
      <c r="E6" s="24" t="inlineStr">
        <is>
          <t>POST</t>
        </is>
      </c>
      <c r="F6" s="24" t="inlineStr">
        <is>
          <t>{{base_url}}/api/v1/common/auth/verify-registration/</t>
        </is>
      </c>
      <c r="G6" s="24" t="inlineStr">
        <is>
          <t>Không cần token (public endpoint)</t>
        </is>
      </c>
      <c r="H6" s="24" t="inlineStr">
        <is>
          <t>Các biến {{...}} trong path phải lấy từ response/seed; xem cột chuẩn bị dữ liệu.</t>
        </is>
      </c>
      <c r="I6" s="24" t="inlineStr">
        <is>
          <t>Không có</t>
        </is>
      </c>
      <c r="J6" s="24" t="inlineStr">
        <is>
          <t>Accept: application/json
Content-Type: application/json</t>
        </is>
      </c>
      <c r="K6" s="24" t="inlineStr">
        <is>
          <t>{
  "challenge": "{{registration_challenge}}",
  "code": "{{otp_code}}"
}</t>
        </is>
      </c>
      <c r="L6" s="24" t="inlineStr">
        <is>
          <t>1. Lấy challenge từ response trước đó và OTP từ email sandbox; không ghi OTP vào defect/evidence.
2. Điền UUID từ dữ liệu seed/staging; không tự đặt UUID giả nếu case yêu cầu object tồn tại.
3. Đối chiếu actor, membership, Permission và Data Scope trong sheet TEST_DATA.</t>
        </is>
      </c>
      <c r="M6" s="24" t="inlineStr">
        <is>
          <t>400</t>
        </is>
      </c>
      <c r="N6" s="24" t="inlineStr">
        <is>
          <t>400; không kích hoạt tài khoản; số lần thử tăng đúng</t>
        </is>
      </c>
      <c r="O6" s="24" t="inlineStr">
        <is>
          <t>pm.test('HTTP thuộc [400]', () =&gt; pm.expect([400]).to.include(pm.response.code));
pm.test('Response không lộ secret', () =&gt; { const t=pm.response.text().toLowerCase(); ['password','refresh_token','access_token','otp_code'].forEach(k =&gt; pm.expect(t).not.to.include(k)); });</t>
        </is>
      </c>
      <c r="P6" s="25" t="inlineStr">
        <is>
          <t>Not Run</t>
        </is>
      </c>
      <c r="Q6" s="25" t="inlineStr"/>
      <c r="R6" s="25" t="inlineStr"/>
      <c r="S6" s="25" t="inlineStr"/>
      <c r="T6" s="25" t="inlineStr"/>
      <c r="U6" s="25" t="inlineStr"/>
      <c r="V6" s="24">
        <f>IF(P6="Not Run","Chưa chạy",IF(R6="","Thiếu Tester",IF(S6="","Thiếu Ngày chạy",IF(Q6="","Thiếu Actual Result",IF(AND(P6="Fail",T6=""),"Thiếu Defect ID",IF(AND(OR(P6="Fail",P6="Blocked"),U6=""),"Thiếu Evidence","Hợp lệ"))))))</f>
        <v/>
      </c>
    </row>
    <row r="7" ht="125" customHeight="1">
      <c r="A7" s="24" t="inlineStr">
        <is>
          <t>COM01-04</t>
        </is>
      </c>
      <c r="B7" s="24" t="inlineStr">
        <is>
          <t>COM01-04</t>
        </is>
      </c>
      <c r="C7" s="24" t="inlineStr">
        <is>
          <t>UC-COM-01</t>
        </is>
      </c>
      <c r="D7" s="24" t="inlineStr">
        <is>
          <t>Nhập sai OTP lần 5 rồi nhập mã đúng</t>
        </is>
      </c>
      <c r="E7" s="24" t="inlineStr">
        <is>
          <t>POST</t>
        </is>
      </c>
      <c r="F7" s="24" t="inlineStr">
        <is>
          <t>{{base_url}}/api/v1/common/auth/verify-registration/</t>
        </is>
      </c>
      <c r="G7" s="24" t="inlineStr">
        <is>
          <t>Không cần token (public endpoint)</t>
        </is>
      </c>
      <c r="H7" s="24" t="inlineStr">
        <is>
          <t>Các biến {{...}} trong path phải lấy từ response/seed; xem cột chuẩn bị dữ liệu.</t>
        </is>
      </c>
      <c r="I7" s="24" t="inlineStr">
        <is>
          <t>Không có</t>
        </is>
      </c>
      <c r="J7" s="24" t="inlineStr">
        <is>
          <t>Accept: application/json
Content-Type: application/json</t>
        </is>
      </c>
      <c r="K7" s="24" t="inlineStr">
        <is>
          <t>{
  "challenge": "{{registration_challenge}}",
  "code": "{{otp_code}}"
}</t>
        </is>
      </c>
      <c r="L7" s="24" t="inlineStr">
        <is>
          <t>1. Lấy challenge từ response trước đó và OTP từ email sandbox; không ghi OTP vào defect/evidence.
2. Điền UUID từ dữ liệu seed/staging; không tự đặt UUID giả nếu case yêu cầu object tồn tại.
3. Đối chiếu actor, membership, Permission và Data Scope trong sheet TEST_DATA.</t>
        </is>
      </c>
      <c r="M7" s="24" t="inlineStr">
        <is>
          <t>200</t>
        </is>
      </c>
      <c r="N7" s="24" t="inlineStr">
        <is>
          <t>Challenge bị vô hiệu; mã đúng sau đó vẫn bị từ chối</t>
        </is>
      </c>
      <c r="O7" s="24" t="inlineStr">
        <is>
          <t>pm.test('HTTP thuộc [200]', () =&gt; pm.expect([200]).to.include(pm.response.code));
pm.test('Response không lộ secret', () =&gt; { const t=pm.response.text().toLowerCase(); ['password','refresh_token','access_token','otp_code'].forEach(k =&gt; pm.expect(t).not.to.include(k)); });</t>
        </is>
      </c>
      <c r="P7" s="25" t="inlineStr">
        <is>
          <t>Not Run</t>
        </is>
      </c>
      <c r="Q7" s="25" t="inlineStr"/>
      <c r="R7" s="25" t="inlineStr"/>
      <c r="S7" s="25" t="inlineStr"/>
      <c r="T7" s="25" t="inlineStr"/>
      <c r="U7" s="25" t="inlineStr"/>
      <c r="V7" s="24">
        <f>IF(P7="Not Run","Chưa chạy",IF(R7="","Thiếu Tester",IF(S7="","Thiếu Ngày chạy",IF(Q7="","Thiếu Actual Result",IF(AND(P7="Fail",T7=""),"Thiếu Defect ID",IF(AND(OR(P7="Fail",P7="Blocked"),U7=""),"Thiếu Evidence","Hợp lệ"))))))</f>
        <v/>
      </c>
    </row>
    <row r="8" ht="125" customHeight="1">
      <c r="A8" s="24" t="inlineStr">
        <is>
          <t>COM01-05</t>
        </is>
      </c>
      <c r="B8" s="24" t="inlineStr">
        <is>
          <t>COM01-05</t>
        </is>
      </c>
      <c r="C8" s="24" t="inlineStr">
        <is>
          <t>UC-COM-01</t>
        </is>
      </c>
      <c r="D8" s="24" t="inlineStr">
        <is>
          <t>OTP hết hạn hoặc đã dùng</t>
        </is>
      </c>
      <c r="E8" s="24" t="inlineStr">
        <is>
          <t>POST</t>
        </is>
      </c>
      <c r="F8" s="24" t="inlineStr">
        <is>
          <t>{{base_url}}/api/v1/common/auth/verify-registration/</t>
        </is>
      </c>
      <c r="G8" s="24" t="inlineStr">
        <is>
          <t>Không cần token (public endpoint)</t>
        </is>
      </c>
      <c r="H8" s="24" t="inlineStr">
        <is>
          <t>Các biến {{...}} trong path phải lấy từ response/seed; xem cột chuẩn bị dữ liệu.</t>
        </is>
      </c>
      <c r="I8" s="24" t="inlineStr">
        <is>
          <t>Không có</t>
        </is>
      </c>
      <c r="J8" s="24" t="inlineStr">
        <is>
          <t>Accept: application/json
Content-Type: application/json</t>
        </is>
      </c>
      <c r="K8" s="24" t="inlineStr">
        <is>
          <t>{
  "challenge": "{{registration_challenge}}",
  "code": "{{otp_code}}"
}</t>
        </is>
      </c>
      <c r="L8" s="24" t="inlineStr">
        <is>
          <t>1. Lấy challenge từ response trước đó và OTP từ email sandbox; không ghi OTP vào defect/evidence.
2. Điền UUID từ dữ liệu seed/staging; không tự đặt UUID giả nếu case yêu cầu object tồn tại.
3. Đối chiếu actor, membership, Permission và Data Scope trong sheet TEST_DATA.</t>
        </is>
      </c>
      <c r="M8" s="24" t="inlineStr">
        <is>
          <t>400</t>
        </is>
      </c>
      <c r="N8" s="24" t="inlineStr">
        <is>
          <t>400; không kích hoạt; không thể replay OTP</t>
        </is>
      </c>
      <c r="O8" s="24" t="inlineStr">
        <is>
          <t>pm.test('HTTP thuộc [400]', () =&gt; pm.expect([400]).to.include(pm.response.code));
pm.test('Response không lộ secret', () =&gt; { const t=pm.response.text().toLowerCase(); ['password','refresh_token','access_token','otp_code'].forEach(k =&gt; pm.expect(t).not.to.include(k)); });</t>
        </is>
      </c>
      <c r="P8" s="25" t="inlineStr">
        <is>
          <t>Not Run</t>
        </is>
      </c>
      <c r="Q8" s="25" t="inlineStr"/>
      <c r="R8" s="25" t="inlineStr"/>
      <c r="S8" s="25" t="inlineStr"/>
      <c r="T8" s="25" t="inlineStr"/>
      <c r="U8" s="25" t="inlineStr"/>
      <c r="V8" s="24">
        <f>IF(P8="Not Run","Chưa chạy",IF(R8="","Thiếu Tester",IF(S8="","Thiếu Ngày chạy",IF(Q8="","Thiếu Actual Result",IF(AND(P8="Fail",T8=""),"Thiếu Defect ID",IF(AND(OR(P8="Fail",P8="Blocked"),U8=""),"Thiếu Evidence","Hợp lệ"))))))</f>
        <v/>
      </c>
    </row>
    <row r="9" ht="125" customHeight="1">
      <c r="A9" s="24" t="inlineStr">
        <is>
          <t>COM01-06</t>
        </is>
      </c>
      <c r="B9" s="24" t="inlineStr">
        <is>
          <t>COM01-06</t>
        </is>
      </c>
      <c r="C9" s="24" t="inlineStr">
        <is>
          <t>UC-COM-01</t>
        </is>
      </c>
      <c r="D9" s="24" t="inlineStr">
        <is>
          <t>Gửi lại OTP sau cooldown</t>
        </is>
      </c>
      <c r="E9" s="24" t="inlineStr">
        <is>
          <t>POST</t>
        </is>
      </c>
      <c r="F9" s="24" t="inlineStr">
        <is>
          <t>{{base_url}}/api/v1/common/auth/resend-verification/</t>
        </is>
      </c>
      <c r="G9" s="24" t="inlineStr">
        <is>
          <t>Không cần token (public endpoint)</t>
        </is>
      </c>
      <c r="H9" s="24" t="inlineStr">
        <is>
          <t>Các biến {{...}} trong path phải lấy từ response/seed; xem cột chuẩn bị dữ liệu.</t>
        </is>
      </c>
      <c r="I9" s="24" t="inlineStr">
        <is>
          <t>Không có</t>
        </is>
      </c>
      <c r="J9" s="24" t="inlineStr">
        <is>
          <t>Accept: application/json
Content-Type: application/json</t>
        </is>
      </c>
      <c r="K9" s="24" t="inlineStr">
        <is>
          <t>{
  "challenge": "{{registration_challenge}}"
}</t>
        </is>
      </c>
      <c r="L9" s="24" t="inlineStr">
        <is>
          <t>1. Lấy challenge từ response trước đó và OTP từ email sandbox; không ghi OTP vào defect/evidence.
2. Điền UUID từ dữ liệu seed/staging; không tự đặt UUID giả nếu case yêu cầu object tồn tại.
3. Đối chiếu actor, membership, Permission và Data Scope trong sheet TEST_DATA.</t>
        </is>
      </c>
      <c r="M9" s="24" t="inlineStr">
        <is>
          <t>202</t>
        </is>
      </c>
      <c r="N9" s="24" t="inlineStr">
        <is>
          <t>202; challenge cũ consumed, challenge mới có hiệu lực, gửi đúng email</t>
        </is>
      </c>
      <c r="O9" s="24" t="inlineStr">
        <is>
          <t>pm.test('HTTP thuộc [202]', () =&gt; pm.expect([202]).to.include(pm.response.code));
pm.test('Response không lộ secret', () =&gt; { const t=pm.response.text().toLowerCase(); ['password','refresh_token','access_token','otp_code'].forEach(k =&gt; pm.expect(t).not.to.include(k)); });</t>
        </is>
      </c>
      <c r="P9" s="25" t="inlineStr">
        <is>
          <t>Not Run</t>
        </is>
      </c>
      <c r="Q9" s="25" t="inlineStr"/>
      <c r="R9" s="25" t="inlineStr"/>
      <c r="S9" s="25" t="inlineStr"/>
      <c r="T9" s="25" t="inlineStr"/>
      <c r="U9" s="25" t="inlineStr"/>
      <c r="V9" s="24">
        <f>IF(P9="Not Run","Chưa chạy",IF(R9="","Thiếu Tester",IF(S9="","Thiếu Ngày chạy",IF(Q9="","Thiếu Actual Result",IF(AND(P9="Fail",T9=""),"Thiếu Defect ID",IF(AND(OR(P9="Fail",P9="Blocked"),U9=""),"Thiếu Evidence","Hợp lệ"))))))</f>
        <v/>
      </c>
    </row>
    <row r="10" ht="125" customHeight="1">
      <c r="A10" s="24" t="inlineStr">
        <is>
          <t>COM01-07</t>
        </is>
      </c>
      <c r="B10" s="24" t="inlineStr">
        <is>
          <t>COM01-07</t>
        </is>
      </c>
      <c r="C10" s="24" t="inlineStr">
        <is>
          <t>UC-COM-01</t>
        </is>
      </c>
      <c r="D10" s="24" t="inlineStr">
        <is>
          <t>Gửi lại OTP trong 60 giây</t>
        </is>
      </c>
      <c r="E10" s="24" t="inlineStr">
        <is>
          <t>POST</t>
        </is>
      </c>
      <c r="F10" s="24" t="inlineStr">
        <is>
          <t>{{base_url}}/api/v1/common/auth/resend-verification/</t>
        </is>
      </c>
      <c r="G10" s="24" t="inlineStr">
        <is>
          <t>Không cần token (public endpoint)</t>
        </is>
      </c>
      <c r="H10" s="24" t="inlineStr">
        <is>
          <t>Các biến {{...}} trong path phải lấy từ response/seed; xem cột chuẩn bị dữ liệu.</t>
        </is>
      </c>
      <c r="I10" s="24" t="inlineStr">
        <is>
          <t>Không có</t>
        </is>
      </c>
      <c r="J10" s="24" t="inlineStr">
        <is>
          <t>Accept: application/json
Content-Type: application/json</t>
        </is>
      </c>
      <c r="K10" s="24" t="inlineStr">
        <is>
          <t>{
  "challenge": "{{registration_challenge}}"
}</t>
        </is>
      </c>
      <c r="L10" s="24" t="inlineStr">
        <is>
          <t>1. Lấy challenge từ response trước đó và OTP từ email sandbox; không ghi OTP vào defect/evidence.
2. Điền UUID từ dữ liệu seed/staging; không tự đặt UUID giả nếu case yêu cầu object tồn tại.
3. Đối chiếu actor, membership, Permission và Data Scope trong sheet TEST_DATA.</t>
        </is>
      </c>
      <c r="M10" s="24" t="inlineStr">
        <is>
          <t>400</t>
        </is>
      </c>
      <c r="N10" s="24" t="inlineStr">
        <is>
          <t>400 và có retry_after; không gửi thêm email</t>
        </is>
      </c>
      <c r="O10" s="24" t="inlineStr">
        <is>
          <t>pm.test('HTTP thuộc [400]', () =&gt; pm.expect([400]).to.include(pm.response.code));
pm.test('Response không lộ secret', () =&gt; { const t=pm.response.text().toLowerCase(); ['password','refresh_token','access_token','otp_code'].forEach(k =&gt; pm.expect(t).not.to.include(k)); });</t>
        </is>
      </c>
      <c r="P10" s="25" t="inlineStr">
        <is>
          <t>Not Run</t>
        </is>
      </c>
      <c r="Q10" s="25" t="inlineStr"/>
      <c r="R10" s="25" t="inlineStr"/>
      <c r="S10" s="25" t="inlineStr"/>
      <c r="T10" s="25" t="inlineStr"/>
      <c r="U10" s="25" t="inlineStr"/>
      <c r="V10" s="24">
        <f>IF(P10="Not Run","Chưa chạy",IF(R10="","Thiếu Tester",IF(S10="","Thiếu Ngày chạy",IF(Q10="","Thiếu Actual Result",IF(AND(P10="Fail",T10=""),"Thiếu Defect ID",IF(AND(OR(P10="Fail",P10="Blocked"),U10=""),"Thiếu Evidence","Hợp lệ"))))))</f>
        <v/>
      </c>
    </row>
    <row r="11" ht="125" customHeight="1">
      <c r="A11" s="24" t="inlineStr">
        <is>
          <t>COM01-08</t>
        </is>
      </c>
      <c r="B11" s="24" t="inlineStr">
        <is>
          <t>COM01-08</t>
        </is>
      </c>
      <c r="C11" s="24" t="inlineStr">
        <is>
          <t>UC-COM-01</t>
        </is>
      </c>
      <c r="D11" s="24" t="inlineStr">
        <is>
          <t>Email/username/số điện thoại trùng, kể cả khác hoa thường</t>
        </is>
      </c>
      <c r="E11" s="24" t="inlineStr">
        <is>
          <t>POST</t>
        </is>
      </c>
      <c r="F11" s="24" t="inlineStr">
        <is>
          <t>{{base_url}}/api/v1/common/auth/register/</t>
        </is>
      </c>
      <c r="G11" s="24" t="inlineStr">
        <is>
          <t>Không cần token (public endpoint)</t>
        </is>
      </c>
      <c r="H11" s="24" t="inlineStr">
        <is>
          <t>Các biến {{...}} trong path phải lấy từ response/seed; xem cột chuẩn bị dữ liệu.</t>
        </is>
      </c>
      <c r="I11" s="24" t="inlineStr">
        <is>
          <t>Không có</t>
        </is>
      </c>
      <c r="J11" s="24" t="inlineStr">
        <is>
          <t>Accept: application/json
Content-Type: application/json</t>
        </is>
      </c>
      <c r="K11" s="24" t="inlineStr">
        <is>
          <t>{
  "username": "{{register_username}}",
  "email": "{{register_email}}",
  "phone": "{{register_phone}}",
  "display_name": "Người dùng QA",
  "password": "{{register_password}}",
  "password_confirm": "{{register_password_confirm}}",
  "terms_accepted": true,
  "terms_version": "2026-01",
  "privacy_version": "2026-01"
}</t>
        </is>
      </c>
      <c r="L11" s="24" t="inlineStr">
        <is>
          <t>1. Lấy challenge từ response trước đó và OTP từ email sandbox; không ghi OTP vào defect/evidence.
2. Điền UUID từ dữ liệu seed/staging; không tự đặt UUID giả nếu case yêu cầu object tồn tại.
3. Đối chiếu actor, membership, Permission và Data Scope trong sheet TEST_DATA.</t>
        </is>
      </c>
      <c r="M11" s="24" t="inlineStr">
        <is>
          <t>400</t>
        </is>
      </c>
      <c r="N11" s="24" t="inlineStr">
        <is>
          <t>400; không tạo bản ghi dở dang</t>
        </is>
      </c>
      <c r="O11" s="24" t="inlineStr">
        <is>
          <t>pm.test('HTTP thuộc [400]', () =&gt; pm.expect([400]).to.include(pm.response.code));
pm.test('Response không lộ secret', () =&gt; { const t=pm.response.text().toLowerCase(); ['password','refresh_token','access_token','otp_code'].forEach(k =&gt; pm.expect(t).not.to.include(k)); });</t>
        </is>
      </c>
      <c r="P11" s="25" t="inlineStr">
        <is>
          <t>Not Run</t>
        </is>
      </c>
      <c r="Q11" s="25" t="inlineStr"/>
      <c r="R11" s="25" t="inlineStr"/>
      <c r="S11" s="25" t="inlineStr"/>
      <c r="T11" s="25" t="inlineStr"/>
      <c r="U11" s="25" t="inlineStr"/>
      <c r="V11" s="24">
        <f>IF(P11="Not Run","Chưa chạy",IF(R11="","Thiếu Tester",IF(S11="","Thiếu Ngày chạy",IF(Q11="","Thiếu Actual Result",IF(AND(P11="Fail",T11=""),"Thiếu Defect ID",IF(AND(OR(P11="Fail",P11="Blocked"),U11=""),"Thiếu Evidence","Hợp lệ"))))))</f>
        <v/>
      </c>
    </row>
    <row r="12" ht="125" customHeight="1">
      <c r="A12" s="24" t="inlineStr">
        <is>
          <t>COM01-09</t>
        </is>
      </c>
      <c r="B12" s="24" t="inlineStr">
        <is>
          <t>COM01-09</t>
        </is>
      </c>
      <c r="C12" s="24" t="inlineStr">
        <is>
          <t>UC-COM-01</t>
        </is>
      </c>
      <c r="D12" s="24" t="inlineStr">
        <is>
          <t>Mật khẩu yếu, xác nhận sai, chưa chấp nhận điều khoản</t>
        </is>
      </c>
      <c r="E12" s="24" t="inlineStr">
        <is>
          <t>POST</t>
        </is>
      </c>
      <c r="F12" s="24" t="inlineStr">
        <is>
          <t>{{base_url}}/api/v1/common/auth/register/</t>
        </is>
      </c>
      <c r="G12" s="24" t="inlineStr">
        <is>
          <t>Không cần token (public endpoint)</t>
        </is>
      </c>
      <c r="H12" s="24" t="inlineStr">
        <is>
          <t>Các biến {{...}} trong path phải lấy từ response/seed; xem cột chuẩn bị dữ liệu.</t>
        </is>
      </c>
      <c r="I12" s="24" t="inlineStr">
        <is>
          <t>Không có</t>
        </is>
      </c>
      <c r="J12" s="24" t="inlineStr">
        <is>
          <t>Accept: application/json
Content-Type: application/json</t>
        </is>
      </c>
      <c r="K12" s="24" t="inlineStr">
        <is>
          <t>{
  "username": "{{register_username}}",
  "email": "{{register_email}}",
  "phone": "{{register_phone}}",
  "display_name": "Người dùng QA",
  "password": "{{register_password}}",
  "password_confirm": "{{register_password_confirm}}",
  "terms_accepted": true,
  "terms_version": "2026-01",
  "privacy_version": "2026-01"
}</t>
        </is>
      </c>
      <c r="L12" s="24" t="inlineStr">
        <is>
          <t>1. Lấy challenge từ response trước đó và OTP từ email sandbox; không ghi OTP vào defect/evidence.
2. Điền UUID từ dữ liệu seed/staging; không tự đặt UUID giả nếu case yêu cầu object tồn tại.
3. Đối chiếu actor, membership, Permission và Data Scope trong sheet TEST_DATA.</t>
        </is>
      </c>
      <c r="M12" s="24" t="inlineStr">
        <is>
          <t>400</t>
        </is>
      </c>
      <c r="N12" s="24" t="inlineStr">
        <is>
          <t>400 theo đúng field; không tạo user</t>
        </is>
      </c>
      <c r="O12" s="24" t="inlineStr">
        <is>
          <t>pm.test('HTTP thuộc [400]', () =&gt; pm.expect([400]).to.include(pm.response.code));
pm.test('Response không lộ secret', () =&gt; { const t=pm.response.text().toLowerCase(); ['password','refresh_token','access_token','otp_code'].forEach(k =&gt; pm.expect(t).not.to.include(k)); });</t>
        </is>
      </c>
      <c r="P12" s="25" t="inlineStr">
        <is>
          <t>Not Run</t>
        </is>
      </c>
      <c r="Q12" s="25" t="inlineStr"/>
      <c r="R12" s="25" t="inlineStr"/>
      <c r="S12" s="25" t="inlineStr"/>
      <c r="T12" s="25" t="inlineStr"/>
      <c r="U12" s="25" t="inlineStr"/>
      <c r="V12" s="24">
        <f>IF(P12="Not Run","Chưa chạy",IF(R12="","Thiếu Tester",IF(S12="","Thiếu Ngày chạy",IF(Q12="","Thiếu Actual Result",IF(AND(P12="Fail",T12=""),"Thiếu Defect ID",IF(AND(OR(P12="Fail",P12="Blocked"),U12=""),"Thiếu Evidence","Hợp lệ"))))))</f>
        <v/>
      </c>
    </row>
    <row r="13" ht="125" customHeight="1">
      <c r="A13" s="24" t="inlineStr">
        <is>
          <t>COM01-10</t>
        </is>
      </c>
      <c r="B13" s="24" t="inlineStr">
        <is>
          <t>COM01-10</t>
        </is>
      </c>
      <c r="C13" s="24" t="inlineStr">
        <is>
          <t>UC-COM-01</t>
        </is>
      </c>
      <c r="D13" s="24" t="inlineStr">
        <is>
          <t>Email/phone sai định dạng; tên chỉ có khoảng trắng; field vượt max length</t>
        </is>
      </c>
      <c r="E13" s="24" t="inlineStr">
        <is>
          <t>POST</t>
        </is>
      </c>
      <c r="F13" s="24" t="inlineStr">
        <is>
          <t>{{base_url}}/api/v1/common/auth/register/</t>
        </is>
      </c>
      <c r="G13" s="24" t="inlineStr">
        <is>
          <t>Không cần token (public endpoint)</t>
        </is>
      </c>
      <c r="H13" s="24" t="inlineStr">
        <is>
          <t>Các biến {{...}} trong path phải lấy từ response/seed; xem cột chuẩn bị dữ liệu.</t>
        </is>
      </c>
      <c r="I13" s="24" t="inlineStr">
        <is>
          <t>Không có</t>
        </is>
      </c>
      <c r="J13" s="24" t="inlineStr">
        <is>
          <t>Accept: application/json
Content-Type: application/json</t>
        </is>
      </c>
      <c r="K13" s="24" t="inlineStr">
        <is>
          <t>{
  "username": "{{register_username}}",
  "email": "{{register_email}}",
  "phone": "{{register_phone}}",
  "display_name": "Người dùng QA",
  "password": "{{register_password}}",
  "password_confirm": "{{register_password_confirm}}",
  "terms_accepted": true,
  "terms_version": "2026-01",
  "privacy_version": "2026-01"
}</t>
        </is>
      </c>
      <c r="L13" s="24" t="inlineStr">
        <is>
          <t>1. Lấy challenge từ response trước đó và OTP từ email sandbox; không ghi OTP vào defect/evidence.
2. Điền UUID từ dữ liệu seed/staging; không tự đặt UUID giả nếu case yêu cầu object tồn tại.
3. Đối chiếu actor, membership, Permission và Data Scope trong sheet TEST_DATA.</t>
        </is>
      </c>
      <c r="M13" s="24" t="inlineStr">
        <is>
          <t>400</t>
        </is>
      </c>
      <c r="N13" s="24" t="inlineStr">
        <is>
          <t>400 và thông báo validation phù hợp</t>
        </is>
      </c>
      <c r="O13" s="24" t="inlineStr">
        <is>
          <t>pm.test('HTTP thuộc [400]', () =&gt; pm.expect([400]).to.include(pm.response.code));
pm.test('Response không lộ secret', () =&gt; { const t=pm.response.text().toLowerCase(); ['password','refresh_token','access_token','otp_code'].forEach(k =&gt; pm.expect(t).not.to.include(k)); });</t>
        </is>
      </c>
      <c r="P13" s="25" t="inlineStr">
        <is>
          <t>Not Run</t>
        </is>
      </c>
      <c r="Q13" s="25" t="inlineStr"/>
      <c r="R13" s="25" t="inlineStr"/>
      <c r="S13" s="25" t="inlineStr"/>
      <c r="T13" s="25" t="inlineStr"/>
      <c r="U13" s="25" t="inlineStr"/>
      <c r="V13" s="24">
        <f>IF(P13="Not Run","Chưa chạy",IF(R13="","Thiếu Tester",IF(S13="","Thiếu Ngày chạy",IF(Q13="","Thiếu Actual Result",IF(AND(P13="Fail",T13=""),"Thiếu Defect ID",IF(AND(OR(P13="Fail",P13="Blocked"),U13=""),"Thiếu Evidence","Hợp lệ"))))))</f>
        <v/>
      </c>
    </row>
    <row r="14" ht="125" customHeight="1">
      <c r="A14" s="24" t="inlineStr">
        <is>
          <t>COM01-11</t>
        </is>
      </c>
      <c r="B14" s="24" t="inlineStr">
        <is>
          <t>COM01-11</t>
        </is>
      </c>
      <c r="C14" s="24" t="inlineStr">
        <is>
          <t>UC-COM-01</t>
        </is>
      </c>
      <c r="D14" s="24" t="inlineStr">
        <is>
          <t>Đổi email khi đang chờ xác thực bằng challenge hợp lệ</t>
        </is>
      </c>
      <c r="E14" s="24" t="inlineStr">
        <is>
          <t>POST</t>
        </is>
      </c>
      <c r="F14" s="24" t="inlineStr">
        <is>
          <t>{{base_url}}/api/v1/common/auth/change-registration-email/</t>
        </is>
      </c>
      <c r="G14" s="24" t="inlineStr">
        <is>
          <t>Không cần token (public endpoint)</t>
        </is>
      </c>
      <c r="H14" s="24" t="inlineStr">
        <is>
          <t>Các biến {{...}} trong path phải lấy từ response/seed; xem cột chuẩn bị dữ liệu.</t>
        </is>
      </c>
      <c r="I14" s="24" t="inlineStr">
        <is>
          <t>Không có</t>
        </is>
      </c>
      <c r="J14" s="24" t="inlineStr">
        <is>
          <t>Accept: application/json
Content-Type: application/json</t>
        </is>
      </c>
      <c r="K14" s="24" t="inlineStr">
        <is>
          <t>{
  "challenge": "{{registration_challenge}}",
  "email": "{{changed_email}}"
}</t>
        </is>
      </c>
      <c r="L14" s="24" t="inlineStr">
        <is>
          <t>1. Lấy challenge từ response trước đó và OTP từ email sandbox; không ghi OTP vào defect/evidence.
2. Điền UUID từ dữ liệu seed/staging; không tự đặt UUID giả nếu case yêu cầu object tồn tại.
3. Đối chiếu actor, membership, Permission và Data Scope trong sheet TEST_DATA.</t>
        </is>
      </c>
      <c r="M14" s="24" t="inlineStr">
        <is>
          <t>200</t>
        </is>
      </c>
      <c r="N14" s="24" t="inlineStr">
        <is>
          <t>Email/user preference cập nhật; OTP cũ mất hiệu lực; OTP mới gửi đến email mới</t>
        </is>
      </c>
      <c r="O14" s="24" t="inlineStr">
        <is>
          <t>pm.test('HTTP thuộc [200]', () =&gt; pm.expect([200]).to.include(pm.response.code));
pm.test('Response không lộ secret', () =&gt; { const t=pm.response.text().toLowerCase(); ['password','refresh_token','access_token','otp_code'].forEach(k =&gt; pm.expect(t).not.to.include(k)); });</t>
        </is>
      </c>
      <c r="P14" s="25" t="inlineStr">
        <is>
          <t>Not Run</t>
        </is>
      </c>
      <c r="Q14" s="25" t="inlineStr"/>
      <c r="R14" s="25" t="inlineStr"/>
      <c r="S14" s="25" t="inlineStr"/>
      <c r="T14" s="25" t="inlineStr"/>
      <c r="U14" s="25" t="inlineStr"/>
      <c r="V14" s="24">
        <f>IF(P14="Not Run","Chưa chạy",IF(R14="","Thiếu Tester",IF(S14="","Thiếu Ngày chạy",IF(Q14="","Thiếu Actual Result",IF(AND(P14="Fail",T14=""),"Thiếu Defect ID",IF(AND(OR(P14="Fail",P14="Blocked"),U14=""),"Thiếu Evidence","Hợp lệ"))))))</f>
        <v/>
      </c>
    </row>
    <row r="15" ht="125" customHeight="1">
      <c r="A15" s="24" t="inlineStr">
        <is>
          <t>COM01-12</t>
        </is>
      </c>
      <c r="B15" s="24" t="inlineStr">
        <is>
          <t>COM01-12</t>
        </is>
      </c>
      <c r="C15" s="24" t="inlineStr">
        <is>
          <t>UC-COM-01</t>
        </is>
      </c>
      <c r="D15" s="24" t="inlineStr">
        <is>
          <t>Đổi sang email đã dùng hoặc dùng challenge của đăng ký đã active</t>
        </is>
      </c>
      <c r="E15" s="24" t="inlineStr">
        <is>
          <t>POST</t>
        </is>
      </c>
      <c r="F15" s="24" t="inlineStr">
        <is>
          <t>{{base_url}}/api/v1/common/auth/change-registration-email/</t>
        </is>
      </c>
      <c r="G15" s="24" t="inlineStr">
        <is>
          <t>Không cần token (public endpoint)</t>
        </is>
      </c>
      <c r="H15" s="24" t="inlineStr">
        <is>
          <t>Các biến {{...}} trong path phải lấy từ response/seed; xem cột chuẩn bị dữ liệu.</t>
        </is>
      </c>
      <c r="I15" s="24" t="inlineStr">
        <is>
          <t>Không có</t>
        </is>
      </c>
      <c r="J15" s="24" t="inlineStr">
        <is>
          <t>Accept: application/json
Content-Type: application/json</t>
        </is>
      </c>
      <c r="K15" s="24" t="inlineStr">
        <is>
          <t>{
  "challenge": "{{registration_challenge}}",
  "email": "{{changed_email}}"
}</t>
        </is>
      </c>
      <c r="L15" s="24" t="inlineStr">
        <is>
          <t>1. Lấy challenge từ response trước đó và OTP từ email sandbox; không ghi OTP vào defect/evidence.
2. Điền UUID từ dữ liệu seed/staging; không tự đặt UUID giả nếu case yêu cầu object tồn tại.
3. Đối chiếu actor, membership, Permission và Data Scope trong sheet TEST_DATA.</t>
        </is>
      </c>
      <c r="M15" s="24" t="inlineStr">
        <is>
          <t>400</t>
        </is>
      </c>
      <c r="N15" s="24" t="inlineStr">
        <is>
          <t>400; không thay đổi email</t>
        </is>
      </c>
      <c r="O15" s="24" t="inlineStr">
        <is>
          <t>pm.test('HTTP thuộc [400]', () =&gt; pm.expect([400]).to.include(pm.response.code));
pm.test('Response không lộ secret', () =&gt; { const t=pm.response.text().toLowerCase(); ['password','refresh_token','access_token','otp_code'].forEach(k =&gt; pm.expect(t).not.to.include(k)); });</t>
        </is>
      </c>
      <c r="P15" s="25" t="inlineStr">
        <is>
          <t>Not Run</t>
        </is>
      </c>
      <c r="Q15" s="25" t="inlineStr"/>
      <c r="R15" s="25" t="inlineStr"/>
      <c r="S15" s="25" t="inlineStr"/>
      <c r="T15" s="25" t="inlineStr"/>
      <c r="U15" s="25" t="inlineStr"/>
      <c r="V15" s="24">
        <f>IF(P15="Not Run","Chưa chạy",IF(R15="","Thiếu Tester",IF(S15="","Thiếu Ngày chạy",IF(Q15="","Thiếu Actual Result",IF(AND(P15="Fail",T15=""),"Thiếu Defect ID",IF(AND(OR(P15="Fail",P15="Blocked"),U15=""),"Thiếu Evidence","Hợp lệ"))))))</f>
        <v/>
      </c>
    </row>
    <row r="16" ht="125" customHeight="1">
      <c r="A16" s="24" t="inlineStr">
        <is>
          <t>COM01-13</t>
        </is>
      </c>
      <c r="B16" s="24" t="inlineStr">
        <is>
          <t>COM01-13</t>
        </is>
      </c>
      <c r="C16" s="24" t="inlineStr">
        <is>
          <t>UC-COM-01</t>
        </is>
      </c>
      <c r="D16" s="24" t="inlineStr">
        <is>
          <t>Gọi xác thực thành công lặp lại cùng challenge</t>
        </is>
      </c>
      <c r="E16" s="24" t="inlineStr">
        <is>
          <t>POST</t>
        </is>
      </c>
      <c r="F16" s="24" t="inlineStr">
        <is>
          <t>{{base_url}}/api/v1/common/auth/verify-registration/</t>
        </is>
      </c>
      <c r="G16" s="24" t="inlineStr">
        <is>
          <t>Không cần token (public endpoint)</t>
        </is>
      </c>
      <c r="H16" s="24" t="inlineStr">
        <is>
          <t>Các biến {{...}} trong path phải lấy từ response/seed; xem cột chuẩn bị dữ liệu.</t>
        </is>
      </c>
      <c r="I16" s="24" t="inlineStr">
        <is>
          <t>Không có</t>
        </is>
      </c>
      <c r="J16" s="24" t="inlineStr">
        <is>
          <t>Accept: application/json
Content-Type: application/json</t>
        </is>
      </c>
      <c r="K16" s="24" t="inlineStr">
        <is>
          <t>{
  "challenge": "{{registration_challenge}}",
  "code": "{{otp_code}}"
}</t>
        </is>
      </c>
      <c r="L16" s="24" t="inlineStr">
        <is>
          <t>1. Lấy challenge từ response trước đó và OTP từ email sandbox; không ghi OTP vào defect/evidence.
2. Điền UUID từ dữ liệu seed/staging; không tự đặt UUID giả nếu case yêu cầu object tồn tại.
3. Đối chiếu actor, membership, Permission và Data Scope trong sheet TEST_DATA.</t>
        </is>
      </c>
      <c r="M16" s="24" t="inlineStr">
        <is>
          <t>200</t>
        </is>
      </c>
      <c r="N16" s="24" t="inlineStr">
        <is>
          <t>Kết quả idempotent; không tạo session/dữ liệu sai ngoài dự kiến</t>
        </is>
      </c>
      <c r="O16" s="24" t="inlineStr">
        <is>
          <t>pm.test('HTTP thuộc [200]', () =&gt; pm.expect([200]).to.include(pm.response.code));
pm.test('Response không lộ secret', () =&gt; { const t=pm.response.text().toLowerCase(); ['password','refresh_token','access_token','otp_code'].forEach(k =&gt; pm.expect(t).not.to.include(k)); });</t>
        </is>
      </c>
      <c r="P16" s="25" t="inlineStr">
        <is>
          <t>Not Run</t>
        </is>
      </c>
      <c r="Q16" s="25" t="inlineStr"/>
      <c r="R16" s="25" t="inlineStr"/>
      <c r="S16" s="25" t="inlineStr"/>
      <c r="T16" s="25" t="inlineStr"/>
      <c r="U16" s="25" t="inlineStr"/>
      <c r="V16" s="24">
        <f>IF(P16="Not Run","Chưa chạy",IF(R16="","Thiếu Tester",IF(S16="","Thiếu Ngày chạy",IF(Q16="","Thiếu Actual Result",IF(AND(P16="Fail",T16=""),"Thiếu Defect ID",IF(AND(OR(P16="Fail",P16="Blocked"),U16=""),"Thiếu Evidence","Hợp lệ"))))))</f>
        <v/>
      </c>
    </row>
    <row r="17" ht="125" customHeight="1">
      <c r="A17" s="24" t="inlineStr">
        <is>
          <t>COM01-14</t>
        </is>
      </c>
      <c r="B17" s="24" t="inlineStr">
        <is>
          <t>COM01-14</t>
        </is>
      </c>
      <c r="C17" s="24" t="inlineStr">
        <is>
          <t>UC-COM-01</t>
        </is>
      </c>
      <c r="D17" s="24" t="inlineStr">
        <is>
          <t>Vượt rate limit đăng ký/OTP theo email hoặc IP</t>
        </is>
      </c>
      <c r="E17" s="24" t="inlineStr">
        <is>
          <t>POST</t>
        </is>
      </c>
      <c r="F17" s="24" t="inlineStr">
        <is>
          <t>{{base_url}}/api/v1/common/auth/register/</t>
        </is>
      </c>
      <c r="G17" s="24" t="inlineStr">
        <is>
          <t>Không cần token (public endpoint)</t>
        </is>
      </c>
      <c r="H17" s="24" t="inlineStr">
        <is>
          <t>Các biến {{...}} trong path phải lấy từ response/seed; xem cột chuẩn bị dữ liệu.</t>
        </is>
      </c>
      <c r="I17" s="24" t="inlineStr">
        <is>
          <t>Không có</t>
        </is>
      </c>
      <c r="J17" s="24" t="inlineStr">
        <is>
          <t>Accept: application/json
Content-Type: application/json</t>
        </is>
      </c>
      <c r="K17" s="24" t="inlineStr">
        <is>
          <t>{
  "username": "{{register_username}}",
  "email": "{{register_email}}",
  "phone": "{{register_phone}}",
  "display_name": "Người dùng QA",
  "password": "{{register_password}}",
  "password_confirm": "{{register_password_confirm}}",
  "terms_accepted": true,
  "terms_version": "2026-01",
  "privacy_version": "2026-01"
}</t>
        </is>
      </c>
      <c r="L17" s="24" t="inlineStr">
        <is>
          <t>1. Lấy challenge từ response trước đó và OTP từ email sandbox; không ghi OTP vào defect/evidence.
2. Điền UUID từ dữ liệu seed/staging; không tự đặt UUID giả nếu case yêu cầu object tồn tại.
3. Đối chiếu actor, membership, Permission và Data Scope trong sheet TEST_DATA.</t>
        </is>
      </c>
      <c r="M17" s="24" t="inlineStr">
        <is>
          <t>429</t>
        </is>
      </c>
      <c r="N17" s="24" t="inlineStr">
        <is>
          <t>429; khóa theo bucket đúng và không làm lộ OTP/dữ liệu tài khoản</t>
        </is>
      </c>
      <c r="O17" s="24" t="inlineStr">
        <is>
          <t>pm.test('HTTP thuộc [429]', () =&gt; pm.expect([429]).to.include(pm.response.code));
pm.test('Response không lộ secret', () =&gt; { const t=pm.response.text().toLowerCase(); ['password','refresh_token','access_token','otp_code'].forEach(k =&gt; pm.expect(t).not.to.include(k)); });</t>
        </is>
      </c>
      <c r="P17" s="25" t="inlineStr">
        <is>
          <t>Not Run</t>
        </is>
      </c>
      <c r="Q17" s="25" t="inlineStr"/>
      <c r="R17" s="25" t="inlineStr"/>
      <c r="S17" s="25" t="inlineStr"/>
      <c r="T17" s="25" t="inlineStr"/>
      <c r="U17" s="25" t="inlineStr"/>
      <c r="V17" s="24">
        <f>IF(P17="Not Run","Chưa chạy",IF(R17="","Thiếu Tester",IF(S17="","Thiếu Ngày chạy",IF(Q17="","Thiếu Actual Result",IF(AND(P17="Fail",T17=""),"Thiếu Defect ID",IF(AND(OR(P17="Fail",P17="Blocked"),U17=""),"Thiếu Evidence","Hợp lệ"))))))</f>
        <v/>
      </c>
    </row>
    <row r="18" ht="125" customHeight="1">
      <c r="A18" s="24" t="inlineStr">
        <is>
          <t>COM02-01</t>
        </is>
      </c>
      <c r="B18" s="24" t="inlineStr">
        <is>
          <t>COM02-01</t>
        </is>
      </c>
      <c r="C18" s="24" t="inlineStr">
        <is>
          <t>UC-COM-02</t>
        </is>
      </c>
      <c r="D18" s="24" t="inlineStr">
        <is>
          <t>Tìm doanh nghiệp theo mã/tên/mã số thuế với từ khóa &gt;= 2 ký tự</t>
        </is>
      </c>
      <c r="E18" s="24" t="inlineStr">
        <is>
          <t>GET</t>
        </is>
      </c>
      <c r="F18" s="24" t="inlineStr">
        <is>
          <t>{{base_url}}/api/v1/common/companies/search/?q={{company_search_q}}</t>
        </is>
      </c>
      <c r="G18" s="24" t="inlineStr">
        <is>
          <t>{{access_token}} – actor theo TEST_DATA</t>
        </is>
      </c>
      <c r="H18" s="24" t="inlineStr">
        <is>
          <t>Các biến {{...}} trong path phải lấy từ response/seed; xem cột chuẩn bị dữ liệu.</t>
        </is>
      </c>
      <c r="I18" s="24" t="inlineStr">
        <is>
          <t>q={{company_search_q}}</t>
        </is>
      </c>
      <c r="J18" s="24" t="inlineStr">
        <is>
          <t>Authorization: Bearer {{access_token}}
Accept: application/json
Content-Type: application/json</t>
        </is>
      </c>
      <c r="K18" s="24" t="inlineStr">
        <is>
          <t>Không có body</t>
        </is>
      </c>
      <c r="L18"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8" s="24" t="inlineStr">
        <is>
          <t>200</t>
        </is>
      </c>
      <c r="N18" s="24" t="inlineStr">
        <is>
          <t>Chỉ trả doanh nghiệp ACTIVE, tối đa 20; mã số thuế được che chỉ còn 4 số cuối</t>
        </is>
      </c>
      <c r="O18" s="24" t="inlineStr">
        <is>
          <t>pm.test('HTTP thuộc [200]', () =&gt; pm.expect([200]).to.include(pm.response.code));
pm.test('Response không lộ secret', () =&gt; { const t=pm.response.text().toLowerCase(); ['password','refresh_token','access_token','otp_code'].forEach(k =&gt; pm.expect(t).not.to.include(k)); });</t>
        </is>
      </c>
      <c r="P18" s="25" t="inlineStr">
        <is>
          <t>Not Run</t>
        </is>
      </c>
      <c r="Q18" s="25" t="inlineStr"/>
      <c r="R18" s="25" t="inlineStr"/>
      <c r="S18" s="25" t="inlineStr"/>
      <c r="T18" s="25" t="inlineStr"/>
      <c r="U18" s="25" t="inlineStr"/>
      <c r="V18" s="24">
        <f>IF(P18="Not Run","Chưa chạy",IF(R18="","Thiếu Tester",IF(S18="","Thiếu Ngày chạy",IF(Q18="","Thiếu Actual Result",IF(AND(P18="Fail",T18=""),"Thiếu Defect ID",IF(AND(OR(P18="Fail",P18="Blocked"),U18=""),"Thiếu Evidence","Hợp lệ"))))))</f>
        <v/>
      </c>
    </row>
    <row r="19" ht="125" customHeight="1">
      <c r="A19" s="24" t="inlineStr">
        <is>
          <t>COM02-02</t>
        </is>
      </c>
      <c r="B19" s="24" t="inlineStr">
        <is>
          <t>COM02-02</t>
        </is>
      </c>
      <c r="C19" s="24" t="inlineStr">
        <is>
          <t>UC-COM-02</t>
        </is>
      </c>
      <c r="D19" s="24" t="inlineStr">
        <is>
          <t>Từ khóa tìm doanh nghiệp &lt; 2 ký tự</t>
        </is>
      </c>
      <c r="E19" s="24" t="inlineStr">
        <is>
          <t>GET</t>
        </is>
      </c>
      <c r="F19" s="24" t="inlineStr">
        <is>
          <t>{{base_url}}/api/v1/common/companies/search/?q={{company_search_q}}</t>
        </is>
      </c>
      <c r="G19" s="24" t="inlineStr">
        <is>
          <t>{{access_token}} – actor theo TEST_DATA</t>
        </is>
      </c>
      <c r="H19" s="24" t="inlineStr">
        <is>
          <t>Các biến {{...}} trong path phải lấy từ response/seed; xem cột chuẩn bị dữ liệu.</t>
        </is>
      </c>
      <c r="I19" s="24" t="inlineStr">
        <is>
          <t>q={{company_search_q}}</t>
        </is>
      </c>
      <c r="J19" s="24" t="inlineStr">
        <is>
          <t>Authorization: Bearer {{access_token}}
Accept: application/json
Content-Type: application/json</t>
        </is>
      </c>
      <c r="K19" s="24" t="inlineStr">
        <is>
          <t>Không có body</t>
        </is>
      </c>
      <c r="L19"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9" s="24" t="inlineStr">
        <is>
          <t>400</t>
        </is>
      </c>
      <c r="N19" s="24" t="inlineStr">
        <is>
          <t>400; không trả toàn bộ danh sách</t>
        </is>
      </c>
      <c r="O19" s="24" t="inlineStr">
        <is>
          <t>pm.test('HTTP thuộc [400]', () =&gt; pm.expect([400]).to.include(pm.response.code));
pm.test('Response không lộ secret', () =&gt; { const t=pm.response.text().toLowerCase(); ['password','refresh_token','access_token','otp_code'].forEach(k =&gt; pm.expect(t).not.to.include(k)); });</t>
        </is>
      </c>
      <c r="P19" s="25" t="inlineStr">
        <is>
          <t>Not Run</t>
        </is>
      </c>
      <c r="Q19" s="25" t="inlineStr"/>
      <c r="R19" s="25" t="inlineStr"/>
      <c r="S19" s="25" t="inlineStr"/>
      <c r="T19" s="25" t="inlineStr"/>
      <c r="U19" s="25" t="inlineStr"/>
      <c r="V19" s="24">
        <f>IF(P19="Not Run","Chưa chạy",IF(R19="","Thiếu Tester",IF(S19="","Thiếu Ngày chạy",IF(Q19="","Thiếu Actual Result",IF(AND(P19="Fail",T19=""),"Thiếu Defect ID",IF(AND(OR(P19="Fail",P19="Blocked"),U19=""),"Thiếu Evidence","Hợp lệ"))))))</f>
        <v/>
      </c>
    </row>
    <row r="20" ht="125" customHeight="1">
      <c r="A20" s="24" t="inlineStr">
        <is>
          <t>COM02-03</t>
        </is>
      </c>
      <c r="B20" s="24" t="inlineStr">
        <is>
          <t>COM02-03</t>
        </is>
      </c>
      <c r="C20" s="24" t="inlineStr">
        <is>
          <t>UC-COM-02</t>
        </is>
      </c>
      <c r="D20" s="24" t="inlineStr">
        <is>
          <t>Gửi yêu cầu hợp lệ tới C1</t>
        </is>
      </c>
      <c r="E20" s="24" t="inlineStr">
        <is>
          <t>POST</t>
        </is>
      </c>
      <c r="F20" s="24" t="inlineStr">
        <is>
          <t>{{base_url}}/api/v1/common/join-requests/</t>
        </is>
      </c>
      <c r="G20" s="24" t="inlineStr">
        <is>
          <t>{{access_token}} – actor theo TEST_DATA</t>
        </is>
      </c>
      <c r="H20" s="24" t="inlineStr">
        <is>
          <t>Các biến {{...}} trong path phải lấy từ response/seed; xem cột chuẩn bị dữ liệu.</t>
        </is>
      </c>
      <c r="I20" s="24" t="inlineStr">
        <is>
          <t>Không có</t>
        </is>
      </c>
      <c r="J20" s="24" t="inlineStr">
        <is>
          <t>Authorization: Bearer {{access_token}}
Accept: application/json
Content-Type: application/json</t>
        </is>
      </c>
      <c r="K20" s="24" t="inlineStr">
        <is>
          <t>{
  "company": "{{c1_id}}",
  "message": "Xin tham gia doanh nghiệp",
  "invitation_code": "{{invitation_code}}"
}</t>
        </is>
      </c>
      <c r="L20"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20" s="24" t="inlineStr">
        <is>
          <t>201</t>
        </is>
      </c>
      <c r="N20" s="24" t="inlineStr">
        <is>
          <t>201; status PENDING, requester là user hiện tại, ngày hết hạn đúng; thông báo cho requester/admin</t>
        </is>
      </c>
      <c r="O20" s="24" t="inlineStr">
        <is>
          <t>pm.test('HTTP thuộc [201]', () =&gt; pm.expect([201]).to.include(pm.response.code));
pm.test('Response không lộ secret', () =&gt; { const t=pm.response.text().toLowerCase(); ['password','refresh_token','access_token','otp_code'].forEach(k =&gt; pm.expect(t).not.to.include(k)); });</t>
        </is>
      </c>
      <c r="P20" s="25" t="inlineStr">
        <is>
          <t>Not Run</t>
        </is>
      </c>
      <c r="Q20" s="25" t="inlineStr"/>
      <c r="R20" s="25" t="inlineStr"/>
      <c r="S20" s="25" t="inlineStr"/>
      <c r="T20" s="25" t="inlineStr"/>
      <c r="U20" s="25" t="inlineStr"/>
      <c r="V20" s="24">
        <f>IF(P20="Not Run","Chưa chạy",IF(R20="","Thiếu Tester",IF(S20="","Thiếu Ngày chạy",IF(Q20="","Thiếu Actual Result",IF(AND(P20="Fail",T20=""),"Thiếu Defect ID",IF(AND(OR(P20="Fail",P20="Blocked"),U20=""),"Thiếu Evidence","Hợp lệ"))))))</f>
        <v/>
      </c>
    </row>
    <row r="21" ht="125" customHeight="1">
      <c r="A21" s="24" t="inlineStr">
        <is>
          <t>COM02-04</t>
        </is>
      </c>
      <c r="B21" s="24" t="inlineStr">
        <is>
          <t>COM02-04</t>
        </is>
      </c>
      <c r="C21" s="24" t="inlineStr">
        <is>
          <t>UC-COM-02</t>
        </is>
      </c>
      <c r="D21" s="24" t="inlineStr">
        <is>
          <t>Gửi yêu cầu PENDING trùng C1</t>
        </is>
      </c>
      <c r="E21" s="24" t="inlineStr">
        <is>
          <t>POST</t>
        </is>
      </c>
      <c r="F21" s="24" t="inlineStr">
        <is>
          <t>{{base_url}}/api/v1/common/join-requests/</t>
        </is>
      </c>
      <c r="G21" s="24" t="inlineStr">
        <is>
          <t>{{access_token}} – actor theo TEST_DATA</t>
        </is>
      </c>
      <c r="H21" s="24" t="inlineStr">
        <is>
          <t>Các biến {{...}} trong path phải lấy từ response/seed; xem cột chuẩn bị dữ liệu.</t>
        </is>
      </c>
      <c r="I21" s="24" t="inlineStr">
        <is>
          <t>Không có</t>
        </is>
      </c>
      <c r="J21" s="24" t="inlineStr">
        <is>
          <t>Authorization: Bearer {{access_token}}
Accept: application/json
Content-Type: application/json</t>
        </is>
      </c>
      <c r="K21" s="24" t="inlineStr">
        <is>
          <t>{
  "company": "{{c1_id}}",
  "message": "Xin tham gia doanh nghiệp",
  "invitation_code": "{{invitation_code}}"
}</t>
        </is>
      </c>
      <c r="L21"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21" s="24" t="inlineStr">
        <is>
          <t>400</t>
        </is>
      </c>
      <c r="N21" s="24" t="inlineStr">
        <is>
          <t>400; chỉ tồn tại một yêu cầu pending</t>
        </is>
      </c>
      <c r="O21" s="24" t="inlineStr">
        <is>
          <t>pm.test('HTTP thuộc [400]', () =&gt; pm.expect([400]).to.include(pm.response.code));
pm.test('Response không lộ secret', () =&gt; { const t=pm.response.text().toLowerCase(); ['password','refresh_token','access_token','otp_code'].forEach(k =&gt; pm.expect(t).not.to.include(k)); });</t>
        </is>
      </c>
      <c r="P21" s="25" t="inlineStr">
        <is>
          <t>Not Run</t>
        </is>
      </c>
      <c r="Q21" s="25" t="inlineStr"/>
      <c r="R21" s="25" t="inlineStr"/>
      <c r="S21" s="25" t="inlineStr"/>
      <c r="T21" s="25" t="inlineStr"/>
      <c r="U21" s="25" t="inlineStr"/>
      <c r="V21" s="24">
        <f>IF(P21="Not Run","Chưa chạy",IF(R21="","Thiếu Tester",IF(S21="","Thiếu Ngày chạy",IF(Q21="","Thiếu Actual Result",IF(AND(P21="Fail",T21=""),"Thiếu Defect ID",IF(AND(OR(P21="Fail",P21="Blocked"),U21=""),"Thiếu Evidence","Hợp lệ"))))))</f>
        <v/>
      </c>
    </row>
    <row r="22" ht="125" customHeight="1">
      <c r="A22" s="24" t="inlineStr">
        <is>
          <t>COM02-05</t>
        </is>
      </c>
      <c r="B22" s="24" t="inlineStr">
        <is>
          <t>COM02-05</t>
        </is>
      </c>
      <c r="C22" s="24" t="inlineStr">
        <is>
          <t>UC-COM-02</t>
        </is>
      </c>
      <c r="D22" s="24" t="inlineStr">
        <is>
          <t>Gửi yêu cầu bằng invitation code hợp lệ</t>
        </is>
      </c>
      <c r="E22" s="24" t="inlineStr">
        <is>
          <t>POST</t>
        </is>
      </c>
      <c r="F22" s="24" t="inlineStr">
        <is>
          <t>{{base_url}}/api/v1/common/join-requests/</t>
        </is>
      </c>
      <c r="G22" s="24" t="inlineStr">
        <is>
          <t>{{access_token}} – actor theo TEST_DATA</t>
        </is>
      </c>
      <c r="H22" s="24" t="inlineStr">
        <is>
          <t>Các biến {{...}} trong path phải lấy từ response/seed; xem cột chuẩn bị dữ liệu.</t>
        </is>
      </c>
      <c r="I22" s="24" t="inlineStr">
        <is>
          <t>Không có</t>
        </is>
      </c>
      <c r="J22" s="24" t="inlineStr">
        <is>
          <t>Authorization: Bearer {{access_token}}
Accept: application/json
Content-Type: application/json</t>
        </is>
      </c>
      <c r="K22" s="24" t="inlineStr">
        <is>
          <t>{
  "company": "{{c1_id}}",
  "message": "Xin tham gia doanh nghiệp",
  "invitation_code": "{{invitation_code}}"
}</t>
        </is>
      </c>
      <c r="L22"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22" s="24" t="inlineStr">
        <is>
          <t>201</t>
        </is>
      </c>
      <c r="N22" s="24" t="inlineStr">
        <is>
          <t>Chọn đúng doanh nghiệp; tăng use count; auto-approve nếu invitation cấu hình như vậy</t>
        </is>
      </c>
      <c r="O22" s="24" t="inlineStr">
        <is>
          <t>pm.test('HTTP thuộc [201]', () =&gt; pm.expect([201]).to.include(pm.response.code));
pm.test('Response không lộ secret', () =&gt; { const t=pm.response.text().toLowerCase(); ['password','refresh_token','access_token','otp_code'].forEach(k =&gt; pm.expect(t).not.to.include(k)); });</t>
        </is>
      </c>
      <c r="P22" s="25" t="inlineStr">
        <is>
          <t>Not Run</t>
        </is>
      </c>
      <c r="Q22" s="25" t="inlineStr"/>
      <c r="R22" s="25" t="inlineStr"/>
      <c r="S22" s="25" t="inlineStr"/>
      <c r="T22" s="25" t="inlineStr"/>
      <c r="U22" s="25" t="inlineStr"/>
      <c r="V22" s="24">
        <f>IF(P22="Not Run","Chưa chạy",IF(R22="","Thiếu Tester",IF(S22="","Thiếu Ngày chạy",IF(Q22="","Thiếu Actual Result",IF(AND(P22="Fail",T22=""),"Thiếu Defect ID",IF(AND(OR(P22="Fail",P22="Blocked"),U22=""),"Thiếu Evidence","Hợp lệ"))))))</f>
        <v/>
      </c>
    </row>
    <row r="23" ht="125" customHeight="1">
      <c r="A23" s="24" t="inlineStr">
        <is>
          <t>COM02-06</t>
        </is>
      </c>
      <c r="B23" s="24" t="inlineStr">
        <is>
          <t>COM02-06</t>
        </is>
      </c>
      <c r="C23" s="24" t="inlineStr">
        <is>
          <t>UC-COM-02</t>
        </is>
      </c>
      <c r="D23" s="24" t="inlineStr">
        <is>
          <t>Invitation hết hạn/bị thu hồi/sai/vượt max use</t>
        </is>
      </c>
      <c r="E23" s="24" t="inlineStr">
        <is>
          <t>POST</t>
        </is>
      </c>
      <c r="F23" s="24" t="inlineStr">
        <is>
          <t>{{base_url}}/api/v1/common/join-requests/</t>
        </is>
      </c>
      <c r="G23" s="24" t="inlineStr">
        <is>
          <t>{{access_token}} – actor theo TEST_DATA</t>
        </is>
      </c>
      <c r="H23" s="24" t="inlineStr">
        <is>
          <t>Các biến {{...}} trong path phải lấy từ response/seed; xem cột chuẩn bị dữ liệu.</t>
        </is>
      </c>
      <c r="I23" s="24" t="inlineStr">
        <is>
          <t>Không có</t>
        </is>
      </c>
      <c r="J23" s="24" t="inlineStr">
        <is>
          <t>Authorization: Bearer {{access_token}}
Accept: application/json
Content-Type: application/json</t>
        </is>
      </c>
      <c r="K23" s="24" t="inlineStr">
        <is>
          <t>{
  "company": "{{c1_id}}",
  "message": "Xin tham gia doanh nghiệp",
  "invitation_code": "{{invitation_code}}"
}</t>
        </is>
      </c>
      <c r="L23"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23" s="24" t="inlineStr">
        <is>
          <t>400</t>
        </is>
      </c>
      <c r="N23" s="24" t="inlineStr">
        <is>
          <t>400; không tạo membership hoặc tăng use count sai</t>
        </is>
      </c>
      <c r="O23" s="24" t="inlineStr">
        <is>
          <t>pm.test('HTTP thuộc [400]', () =&gt; pm.expect([400]).to.include(pm.response.code));
pm.test('Response không lộ secret', () =&gt; { const t=pm.response.text().toLowerCase(); ['password','refresh_token','access_token','otp_code'].forEach(k =&gt; pm.expect(t).not.to.include(k)); });</t>
        </is>
      </c>
      <c r="P23" s="25" t="inlineStr">
        <is>
          <t>Not Run</t>
        </is>
      </c>
      <c r="Q23" s="25" t="inlineStr"/>
      <c r="R23" s="25" t="inlineStr"/>
      <c r="S23" s="25" t="inlineStr"/>
      <c r="T23" s="25" t="inlineStr"/>
      <c r="U23" s="25" t="inlineStr"/>
      <c r="V23" s="24">
        <f>IF(P23="Not Run","Chưa chạy",IF(R23="","Thiếu Tester",IF(S23="","Thiếu Ngày chạy",IF(Q23="","Thiếu Actual Result",IF(AND(P23="Fail",T23=""),"Thiếu Defect ID",IF(AND(OR(P23="Fail",P23="Blocked"),U23=""),"Thiếu Evidence","Hợp lệ"))))))</f>
        <v/>
      </c>
    </row>
    <row r="24" ht="125" customHeight="1">
      <c r="A24" s="24" t="inlineStr">
        <is>
          <t>COM02-07</t>
        </is>
      </c>
      <c r="B24" s="24" t="inlineStr">
        <is>
          <t>COM02-07</t>
        </is>
      </c>
      <c r="C24" s="24" t="inlineStr">
        <is>
          <t>UC-COM-02</t>
        </is>
      </c>
      <c r="D24" s="24" t="inlineStr">
        <is>
          <t>User đã là thành viên ACTIVE của C1 vẫn gửi yêu cầu</t>
        </is>
      </c>
      <c r="E24" s="24" t="inlineStr">
        <is>
          <t>POST</t>
        </is>
      </c>
      <c r="F24" s="24" t="inlineStr">
        <is>
          <t>{{base_url}}/api/v1/common/join-requests/</t>
        </is>
      </c>
      <c r="G24" s="24" t="inlineStr">
        <is>
          <t>{{access_token}} – actor theo TEST_DATA</t>
        </is>
      </c>
      <c r="H24" s="24" t="inlineStr">
        <is>
          <t>Các biến {{...}} trong path phải lấy từ response/seed; xem cột chuẩn bị dữ liệu.</t>
        </is>
      </c>
      <c r="I24" s="24" t="inlineStr">
        <is>
          <t>Không có</t>
        </is>
      </c>
      <c r="J24" s="24" t="inlineStr">
        <is>
          <t>Authorization: Bearer {{access_token}}
Accept: application/json
Content-Type: application/json</t>
        </is>
      </c>
      <c r="K24" s="24" t="inlineStr">
        <is>
          <t>{
  "company": "{{c1_id}}",
  "message": "Xin tham gia doanh nghiệp",
  "invitation_code": "{{invitation_code}}"
}</t>
        </is>
      </c>
      <c r="L24"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24" s="24" t="inlineStr">
        <is>
          <t>201</t>
        </is>
      </c>
      <c r="N24" s="24" t="inlineStr">
        <is>
          <t>Bị từ chối; không tạo yêu cầu trùng</t>
        </is>
      </c>
      <c r="O24" s="24" t="inlineStr">
        <is>
          <t>pm.test('HTTP thuộc [201]', () =&gt; pm.expect([201]).to.include(pm.response.code));
pm.test('Response không lộ secret', () =&gt; { const t=pm.response.text().toLowerCase(); ['password','refresh_token','access_token','otp_code'].forEach(k =&gt; pm.expect(t).not.to.include(k)); });</t>
        </is>
      </c>
      <c r="P24" s="25" t="inlineStr">
        <is>
          <t>Not Run</t>
        </is>
      </c>
      <c r="Q24" s="25" t="inlineStr"/>
      <c r="R24" s="25" t="inlineStr"/>
      <c r="S24" s="25" t="inlineStr"/>
      <c r="T24" s="25" t="inlineStr"/>
      <c r="U24" s="25" t="inlineStr"/>
      <c r="V24" s="24">
        <f>IF(P24="Not Run","Chưa chạy",IF(R24="","Thiếu Tester",IF(S24="","Thiếu Ngày chạy",IF(Q24="","Thiếu Actual Result",IF(AND(P24="Fail",T24=""),"Thiếu Defect ID",IF(AND(OR(P24="Fail",P24="Blocked"),U24=""),"Thiếu Evidence","Hợp lệ"))))))</f>
        <v/>
      </c>
    </row>
    <row r="25" ht="125" customHeight="1">
      <c r="A25" s="24" t="inlineStr">
        <is>
          <t>COM02-08</t>
        </is>
      </c>
      <c r="B25" s="24" t="inlineStr">
        <is>
          <t>COM02-08</t>
        </is>
      </c>
      <c r="C25" s="24" t="inlineStr">
        <is>
          <t>UC-COM-02</t>
        </is>
      </c>
      <c r="D25" s="24" t="inlineStr">
        <is>
          <t>Requester hủy yêu cầu PENDING của chính mình</t>
        </is>
      </c>
      <c r="E25" s="24" t="inlineStr">
        <is>
          <t>POST</t>
        </is>
      </c>
      <c r="F25" s="24" t="inlineStr">
        <is>
          <t>{{base_url}}/api/v1/common/join-requests/{{join_request_id}}/cancel/</t>
        </is>
      </c>
      <c r="G25" s="24" t="inlineStr">
        <is>
          <t>{{access_token}} – actor theo TEST_DATA</t>
        </is>
      </c>
      <c r="H25" s="24" t="inlineStr">
        <is>
          <t>Các biến {{...}} trong path phải lấy từ response/seed; xem cột chuẩn bị dữ liệu.</t>
        </is>
      </c>
      <c r="I25" s="24" t="inlineStr">
        <is>
          <t>Không có</t>
        </is>
      </c>
      <c r="J25" s="24" t="inlineStr">
        <is>
          <t>Authorization: Bearer {{access_token}}
Accept: application/json
Content-Type: application/json</t>
        </is>
      </c>
      <c r="K25" s="24" t="inlineStr">
        <is>
          <t>{}</t>
        </is>
      </c>
      <c r="L25"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25" s="24" t="inlineStr">
        <is>
          <t>200</t>
        </is>
      </c>
      <c r="N25" s="24" t="inlineStr">
        <is>
          <t>Status CANCELLED, ghi thời điểm/lịch sử phù hợp; admin không thể duyệt sau đó</t>
        </is>
      </c>
      <c r="O25" s="24" t="inlineStr">
        <is>
          <t>pm.test('HTTP thuộc [200]', () =&gt; pm.expect([200]).to.include(pm.response.code));
pm.test('Response không lộ secret', () =&gt; { const t=pm.response.text().toLowerCase(); ['password','refresh_token','access_token','otp_code'].forEach(k =&gt; pm.expect(t).not.to.include(k)); });</t>
        </is>
      </c>
      <c r="P25" s="25" t="inlineStr">
        <is>
          <t>Not Run</t>
        </is>
      </c>
      <c r="Q25" s="25" t="inlineStr"/>
      <c r="R25" s="25" t="inlineStr"/>
      <c r="S25" s="25" t="inlineStr"/>
      <c r="T25" s="25" t="inlineStr"/>
      <c r="U25" s="25" t="inlineStr"/>
      <c r="V25" s="24">
        <f>IF(P25="Not Run","Chưa chạy",IF(R25="","Thiếu Tester",IF(S25="","Thiếu Ngày chạy",IF(Q25="","Thiếu Actual Result",IF(AND(P25="Fail",T25=""),"Thiếu Defect ID",IF(AND(OR(P25="Fail",P25="Blocked"),U25=""),"Thiếu Evidence","Hợp lệ"))))))</f>
        <v/>
      </c>
    </row>
    <row r="26" ht="125" customHeight="1">
      <c r="A26" s="24" t="inlineStr">
        <is>
          <t>COM02-09</t>
        </is>
      </c>
      <c r="B26" s="24" t="inlineStr">
        <is>
          <t>COM02-09</t>
        </is>
      </c>
      <c r="C26" s="24" t="inlineStr">
        <is>
          <t>UC-COM-02</t>
        </is>
      </c>
      <c r="D26" s="24" t="inlineStr">
        <is>
          <t>User khác hủy hoặc xem chi tiết yêu cầu không thuộc mình</t>
        </is>
      </c>
      <c r="E26" s="24" t="inlineStr">
        <is>
          <t>POST</t>
        </is>
      </c>
      <c r="F26" s="24" t="inlineStr">
        <is>
          <t>{{base_url}}/api/v1/common/join-requests/{{join_request_id}}/cancel/</t>
        </is>
      </c>
      <c r="G26" s="24" t="inlineStr">
        <is>
          <t>{{token_u4}} – U4 chỉ có C1/B1</t>
        </is>
      </c>
      <c r="H26" s="24" t="inlineStr">
        <is>
          <t>Các biến {{...}} trong path phải lấy từ response/seed; xem cột chuẩn bị dữ liệu.</t>
        </is>
      </c>
      <c r="I26" s="24" t="inlineStr">
        <is>
          <t>Không có</t>
        </is>
      </c>
      <c r="J26" s="24" t="inlineStr">
        <is>
          <t>Authorization: Bearer {{access_token}}
Accept: application/json
Content-Type: application/json</t>
        </is>
      </c>
      <c r="K26" s="24" t="inlineStr">
        <is>
          <t>{}</t>
        </is>
      </c>
      <c r="L26"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26" s="24" t="inlineStr">
        <is>
          <t>403, 404</t>
        </is>
      </c>
      <c r="N26" s="24" t="inlineStr">
        <is>
          <t>404/403; không lộ nội dung yêu cầu</t>
        </is>
      </c>
      <c r="O26" s="24" t="inlineStr">
        <is>
          <t>pm.test('HTTP thuộc [403, 404]', () =&gt; pm.expect([403, 404]).to.include(pm.response.code));
pm.test('Response không lộ secret', () =&gt; { const t=pm.response.text().toLowerCase(); ['password','refresh_token','access_token','otp_code'].forEach(k =&gt; pm.expect(t).not.to.include(k)); });</t>
        </is>
      </c>
      <c r="P26" s="25" t="inlineStr">
        <is>
          <t>Not Run</t>
        </is>
      </c>
      <c r="Q26" s="25" t="inlineStr"/>
      <c r="R26" s="25" t="inlineStr"/>
      <c r="S26" s="25" t="inlineStr"/>
      <c r="T26" s="25" t="inlineStr"/>
      <c r="U26" s="25" t="inlineStr"/>
      <c r="V26" s="24">
        <f>IF(P26="Not Run","Chưa chạy",IF(R26="","Thiếu Tester",IF(S26="","Thiếu Ngày chạy",IF(Q26="","Thiếu Actual Result",IF(AND(P26="Fail",T26=""),"Thiếu Defect ID",IF(AND(OR(P26="Fail",P26="Blocked"),U26=""),"Thiếu Evidence","Hợp lệ"))))))</f>
        <v/>
      </c>
    </row>
    <row r="27" ht="125" customHeight="1">
      <c r="A27" s="24" t="inlineStr">
        <is>
          <t>COM02-10</t>
        </is>
      </c>
      <c r="B27" s="24" t="inlineStr">
        <is>
          <t>COM02-10</t>
        </is>
      </c>
      <c r="C27" s="24" t="inlineStr">
        <is>
          <t>UC-COM-02</t>
        </is>
      </c>
      <c r="D27" s="24" t="inlineStr">
        <is>
          <t>Admin đủ quyền duyệt APPROVED</t>
        </is>
      </c>
      <c r="E27" s="24" t="inlineStr">
        <is>
          <t>POST</t>
        </is>
      </c>
      <c r="F27" s="24" t="inlineStr">
        <is>
          <t>{{base_url}}/api/v1/common/company-join-requests/{{join_request_id}}/decide/?company_id={{c1_id}}</t>
        </is>
      </c>
      <c r="G27" s="24" t="inlineStr">
        <is>
          <t>{{token_u7}} – admin C1</t>
        </is>
      </c>
      <c r="H27" s="24" t="inlineStr">
        <is>
          <t>Các biến {{...}} trong path phải lấy từ response/seed; xem cột chuẩn bị dữ liệu.</t>
        </is>
      </c>
      <c r="I27" s="24" t="inlineStr">
        <is>
          <t>company_id={{c1_id}}</t>
        </is>
      </c>
      <c r="J27" s="24" t="inlineStr">
        <is>
          <t>Authorization: Bearer {{access_token}}
Accept: application/json
Content-Type: application/json</t>
        </is>
      </c>
      <c r="K27" s="24" t="inlineStr">
        <is>
          <t>{
  "company": "{{c1_id}}",
  "decision": "APPROVED",
  "reason": "Đồng ý"
}</t>
        </is>
      </c>
      <c r="L27"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27" s="24" t="inlineStr">
        <is>
          <t>200</t>
        </is>
      </c>
      <c r="N27" s="24" t="inlineStr">
        <is>
          <t>Tạo/khôi phục membership ACTIVE đúng user/C1; ghi decided_by/at/reason; gửi thông báo; idempotency được kiểm soát</t>
        </is>
      </c>
      <c r="O27" s="24" t="inlineStr">
        <is>
          <t>pm.test('HTTP thuộc [200]', () =&gt; pm.expect([200]).to.include(pm.response.code));
pm.test('Response không lộ secret', () =&gt; { const t=pm.response.text().toLowerCase(); ['password','refresh_token','access_token','otp_code'].forEach(k =&gt; pm.expect(t).not.to.include(k)); });</t>
        </is>
      </c>
      <c r="P27" s="25" t="inlineStr">
        <is>
          <t>Not Run</t>
        </is>
      </c>
      <c r="Q27" s="25" t="inlineStr"/>
      <c r="R27" s="25" t="inlineStr"/>
      <c r="S27" s="25" t="inlineStr"/>
      <c r="T27" s="25" t="inlineStr"/>
      <c r="U27" s="25" t="inlineStr"/>
      <c r="V27" s="24">
        <f>IF(P27="Not Run","Chưa chạy",IF(R27="","Thiếu Tester",IF(S27="","Thiếu Ngày chạy",IF(Q27="","Thiếu Actual Result",IF(AND(P27="Fail",T27=""),"Thiếu Defect ID",IF(AND(OR(P27="Fail",P27="Blocked"),U27=""),"Thiếu Evidence","Hợp lệ"))))))</f>
        <v/>
      </c>
    </row>
    <row r="28" ht="125" customHeight="1">
      <c r="A28" s="24" t="inlineStr">
        <is>
          <t>COM02-11</t>
        </is>
      </c>
      <c r="B28" s="24" t="inlineStr">
        <is>
          <t>COM02-11</t>
        </is>
      </c>
      <c r="C28" s="24" t="inlineStr">
        <is>
          <t>UC-COM-02</t>
        </is>
      </c>
      <c r="D28" s="24" t="inlineStr">
        <is>
          <t>Admin từ chối REJECTED</t>
        </is>
      </c>
      <c r="E28" s="24" t="inlineStr">
        <is>
          <t>POST</t>
        </is>
      </c>
      <c r="F28" s="24" t="inlineStr">
        <is>
          <t>{{base_url}}/api/v1/common/company-join-requests/{{join_request_id}}/decide/?company_id={{c1_id}}</t>
        </is>
      </c>
      <c r="G28" s="24" t="inlineStr">
        <is>
          <t>{{token_u7}} – admin C1</t>
        </is>
      </c>
      <c r="H28" s="24" t="inlineStr">
        <is>
          <t>Các biến {{...}} trong path phải lấy từ response/seed; xem cột chuẩn bị dữ liệu.</t>
        </is>
      </c>
      <c r="I28" s="24" t="inlineStr">
        <is>
          <t>company_id={{c1_id}}</t>
        </is>
      </c>
      <c r="J28" s="24" t="inlineStr">
        <is>
          <t>Authorization: Bearer {{access_token}}
Accept: application/json
Content-Type: application/json</t>
        </is>
      </c>
      <c r="K28" s="24" t="inlineStr">
        <is>
          <t>{
  "company": "{{c1_id}}",
  "decision": "APPROVED",
  "reason": "Đồng ý"
}</t>
        </is>
      </c>
      <c r="L28"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28" s="24" t="inlineStr">
        <is>
          <t>200</t>
        </is>
      </c>
      <c r="N28" s="24" t="inlineStr">
        <is>
          <t>Không tạo membership; lưu reason và gửi thông báo requester</t>
        </is>
      </c>
      <c r="O28" s="24" t="inlineStr">
        <is>
          <t>pm.test('HTTP thuộc [200]', () =&gt; pm.expect([200]).to.include(pm.response.code));
pm.test('Response không lộ secret', () =&gt; { const t=pm.response.text().toLowerCase(); ['password','refresh_token','access_token','otp_code'].forEach(k =&gt; pm.expect(t).not.to.include(k)); });</t>
        </is>
      </c>
      <c r="P28" s="25" t="inlineStr">
        <is>
          <t>Not Run</t>
        </is>
      </c>
      <c r="Q28" s="25" t="inlineStr"/>
      <c r="R28" s="25" t="inlineStr"/>
      <c r="S28" s="25" t="inlineStr"/>
      <c r="T28" s="25" t="inlineStr"/>
      <c r="U28" s="25" t="inlineStr"/>
      <c r="V28" s="24">
        <f>IF(P28="Not Run","Chưa chạy",IF(R28="","Thiếu Tester",IF(S28="","Thiếu Ngày chạy",IF(Q28="","Thiếu Actual Result",IF(AND(P28="Fail",T28=""),"Thiếu Defect ID",IF(AND(OR(P28="Fail",P28="Blocked"),U28=""),"Thiếu Evidence","Hợp lệ"))))))</f>
        <v/>
      </c>
    </row>
    <row r="29" ht="125" customHeight="1">
      <c r="A29" s="24" t="inlineStr">
        <is>
          <t>COM02-12</t>
        </is>
      </c>
      <c r="B29" s="24" t="inlineStr">
        <is>
          <t>COM02-12</t>
        </is>
      </c>
      <c r="C29" s="24" t="inlineStr">
        <is>
          <t>UC-COM-02</t>
        </is>
      </c>
      <c r="D29" s="24" t="inlineStr">
        <is>
          <t>Người không có VIEW/APPROVE hoặc admin C2 xử lý yêu cầu C1</t>
        </is>
      </c>
      <c r="E29" s="24" t="inlineStr">
        <is>
          <t>POST</t>
        </is>
      </c>
      <c r="F29" s="24" t="inlineStr">
        <is>
          <t>{{base_url}}/api/v1/common/company-join-requests/{{join_request_id}}/decide/?company_id={{c1_id}}</t>
        </is>
      </c>
      <c r="G29" s="24" t="inlineStr">
        <is>
          <t>{{token_u4}} – U4 chỉ có C1/B1</t>
        </is>
      </c>
      <c r="H29" s="24" t="inlineStr">
        <is>
          <t>Các biến {{...}} trong path phải lấy từ response/seed; xem cột chuẩn bị dữ liệu.</t>
        </is>
      </c>
      <c r="I29" s="24" t="inlineStr">
        <is>
          <t>company_id={{c1_id}}</t>
        </is>
      </c>
      <c r="J29" s="24" t="inlineStr">
        <is>
          <t>Authorization: Bearer {{access_token}}
Accept: application/json
Content-Type: application/json</t>
        </is>
      </c>
      <c r="K29" s="24" t="inlineStr">
        <is>
          <t>{
  "company": "{{c1_id}}",
  "decision": "APPROVED",
  "reason": "Đồng ý"
}</t>
        </is>
      </c>
      <c r="L29"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29" s="24" t="inlineStr">
        <is>
          <t>403, 404</t>
        </is>
      </c>
      <c r="N29" s="24" t="inlineStr">
        <is>
          <t>403/404; không thay đổi yêu cầu</t>
        </is>
      </c>
      <c r="O29" s="24" t="inlineStr">
        <is>
          <t>pm.test('HTTP thuộc [403, 404]', () =&gt; pm.expect([403, 404]).to.include(pm.response.code));
pm.test('Response không lộ secret', () =&gt; { const t=pm.response.text().toLowerCase(); ['password','refresh_token','access_token','otp_code'].forEach(k =&gt; pm.expect(t).not.to.include(k)); });</t>
        </is>
      </c>
      <c r="P29" s="25" t="inlineStr">
        <is>
          <t>Not Run</t>
        </is>
      </c>
      <c r="Q29" s="25" t="inlineStr"/>
      <c r="R29" s="25" t="inlineStr"/>
      <c r="S29" s="25" t="inlineStr"/>
      <c r="T29" s="25" t="inlineStr"/>
      <c r="U29" s="25" t="inlineStr"/>
      <c r="V29" s="24">
        <f>IF(P29="Not Run","Chưa chạy",IF(R29="","Thiếu Tester",IF(S29="","Thiếu Ngày chạy",IF(Q29="","Thiếu Actual Result",IF(AND(P29="Fail",T29=""),"Thiếu Defect ID",IF(AND(OR(P29="Fail",P29="Blocked"),U29=""),"Thiếu Evidence","Hợp lệ"))))))</f>
        <v/>
      </c>
    </row>
    <row r="30" ht="125" customHeight="1">
      <c r="A30" s="24" t="inlineStr">
        <is>
          <t>COM02-13</t>
        </is>
      </c>
      <c r="B30" s="24" t="inlineStr">
        <is>
          <t>COM02-13</t>
        </is>
      </c>
      <c r="C30" s="24" t="inlineStr">
        <is>
          <t>UC-COM-02</t>
        </is>
      </c>
      <c r="D30" s="24" t="inlineStr">
        <is>
          <t>Yêu cầu hết hạn được truy vấn/xử lý</t>
        </is>
      </c>
      <c r="E30" s="24" t="inlineStr">
        <is>
          <t>POST</t>
        </is>
      </c>
      <c r="F30" s="24" t="inlineStr">
        <is>
          <t>{{base_url}}/api/v1/common/company-join-requests/{{join_request_id}}/decide/?company_id={{c1_id}}</t>
        </is>
      </c>
      <c r="G30" s="24" t="inlineStr">
        <is>
          <t>{{token_u7}} – admin C1</t>
        </is>
      </c>
      <c r="H30" s="24" t="inlineStr">
        <is>
          <t>Các biến {{...}} trong path phải lấy từ response/seed; xem cột chuẩn bị dữ liệu.</t>
        </is>
      </c>
      <c r="I30" s="24" t="inlineStr">
        <is>
          <t>company_id={{c1_id}}</t>
        </is>
      </c>
      <c r="J30" s="24" t="inlineStr">
        <is>
          <t>Authorization: Bearer {{access_token}}
Accept: application/json
Content-Type: application/json</t>
        </is>
      </c>
      <c r="K30" s="24" t="inlineStr">
        <is>
          <t>{
  "company": "{{c1_id}}",
  "decision": "APPROVED",
  "reason": "Đồng ý"
}</t>
        </is>
      </c>
      <c r="L30"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30" s="24" t="inlineStr">
        <is>
          <t>200</t>
        </is>
      </c>
      <c r="N30" s="24" t="inlineStr">
        <is>
          <t>Chuyển EXPIRED; không cho cancel/approve/reject</t>
        </is>
      </c>
      <c r="O30" s="24" t="inlineStr">
        <is>
          <t>pm.test('HTTP thuộc [200]', () =&gt; pm.expect([200]).to.include(pm.response.code));
pm.test('Response không lộ secret', () =&gt; { const t=pm.response.text().toLowerCase(); ['password','refresh_token','access_token','otp_code'].forEach(k =&gt; pm.expect(t).not.to.include(k)); });</t>
        </is>
      </c>
      <c r="P30" s="25" t="inlineStr">
        <is>
          <t>Not Run</t>
        </is>
      </c>
      <c r="Q30" s="25" t="inlineStr"/>
      <c r="R30" s="25" t="inlineStr"/>
      <c r="S30" s="25" t="inlineStr"/>
      <c r="T30" s="25" t="inlineStr"/>
      <c r="U30" s="25" t="inlineStr"/>
      <c r="V30" s="24">
        <f>IF(P30="Not Run","Chưa chạy",IF(R30="","Thiếu Tester",IF(S30="","Thiếu Ngày chạy",IF(Q30="","Thiếu Actual Result",IF(AND(P30="Fail",T30=""),"Thiếu Defect ID",IF(AND(OR(P30="Fail",P30="Blocked"),U30=""),"Thiếu Evidence","Hợp lệ"))))))</f>
        <v/>
      </c>
    </row>
    <row r="31" ht="125" customHeight="1">
      <c r="A31" s="24" t="inlineStr">
        <is>
          <t>COM02-14</t>
        </is>
      </c>
      <c r="B31" s="24" t="inlineStr">
        <is>
          <t>COM02-14</t>
        </is>
      </c>
      <c r="C31" s="24" t="inlineStr">
        <is>
          <t>UC-COM-02</t>
        </is>
      </c>
      <c r="D31" s="24" t="inlineStr">
        <is>
          <t>Hai admin duyệt đồng thời cùng yêu cầu</t>
        </is>
      </c>
      <c r="E31" s="24" t="inlineStr">
        <is>
          <t>POST</t>
        </is>
      </c>
      <c r="F31" s="24" t="inlineStr">
        <is>
          <t>{{base_url}}/api/v1/common/company-join-requests/{{join_request_id}}/decide/?company_id={{c1_id}}</t>
        </is>
      </c>
      <c r="G31" s="24" t="inlineStr">
        <is>
          <t>{{token_u7}} – admin C1</t>
        </is>
      </c>
      <c r="H31" s="24" t="inlineStr">
        <is>
          <t>Các biến {{...}} trong path phải lấy từ response/seed; xem cột chuẩn bị dữ liệu.</t>
        </is>
      </c>
      <c r="I31" s="24" t="inlineStr">
        <is>
          <t>company_id={{c1_id}}</t>
        </is>
      </c>
      <c r="J31" s="24" t="inlineStr">
        <is>
          <t>Authorization: Bearer {{access_token}}
Accept: application/json
Content-Type: application/json</t>
        </is>
      </c>
      <c r="K31" s="24" t="inlineStr">
        <is>
          <t>{
  "company": "{{c1_id}}",
  "decision": "APPROVED",
  "reason": "Đồng ý"
}</t>
        </is>
      </c>
      <c r="L31"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
4. Dùng Postman Runner/Newman hoặc hai cửa sổ gửi request gần như đồng thời.</t>
        </is>
      </c>
      <c r="M31" s="24" t="inlineStr">
        <is>
          <t>200</t>
        </is>
      </c>
      <c r="N31" s="24" t="inlineStr">
        <is>
          <t>Chỉ một quyết định hiệu lực; không tạo membership trùng hoặc thông báo trùng</t>
        </is>
      </c>
      <c r="O31" s="24" t="inlineStr">
        <is>
          <t>pm.test('HTTP thuộc [200]', () =&gt; pm.expect([200]).to.include(pm.response.code));
pm.test('Response không lộ secret', () =&gt; { const t=pm.response.text().toLowerCase(); ['password','refresh_token','access_token','otp_code'].forEach(k =&gt; pm.expect(t).not.to.include(k)); });</t>
        </is>
      </c>
      <c r="P31" s="25" t="inlineStr">
        <is>
          <t>Not Run</t>
        </is>
      </c>
      <c r="Q31" s="25" t="inlineStr"/>
      <c r="R31" s="25" t="inlineStr"/>
      <c r="S31" s="25" t="inlineStr"/>
      <c r="T31" s="25" t="inlineStr"/>
      <c r="U31" s="25" t="inlineStr"/>
      <c r="V31" s="24">
        <f>IF(P31="Not Run","Chưa chạy",IF(R31="","Thiếu Tester",IF(S31="","Thiếu Ngày chạy",IF(Q31="","Thiếu Actual Result",IF(AND(P31="Fail",T31=""),"Thiếu Defect ID",IF(AND(OR(P31="Fail",P31="Blocked"),U31=""),"Thiếu Evidence","Hợp lệ"))))))</f>
        <v/>
      </c>
    </row>
    <row r="32" ht="125" customHeight="1">
      <c r="A32" s="24" t="inlineStr">
        <is>
          <t>COM03-01</t>
        </is>
      </c>
      <c r="B32" s="24" t="inlineStr">
        <is>
          <t>COM03-01</t>
        </is>
      </c>
      <c r="C32" s="24" t="inlineStr">
        <is>
          <t>UC-COM-03</t>
        </is>
      </c>
      <c r="D32" s="24" t="inlineStr">
        <is>
          <t>Đăng nhập bằng email hợp lệ</t>
        </is>
      </c>
      <c r="E32" s="24" t="inlineStr">
        <is>
          <t>POST</t>
        </is>
      </c>
      <c r="F32" s="24" t="inlineStr">
        <is>
          <t>{{base_url}}/api/v1/common/auth/login/</t>
        </is>
      </c>
      <c r="G32" s="24" t="inlineStr">
        <is>
          <t>Không cần token (public endpoint)</t>
        </is>
      </c>
      <c r="H32" s="24" t="inlineStr">
        <is>
          <t>Các biến {{...}} trong path phải lấy từ response/seed; xem cột chuẩn bị dữ liệu.</t>
        </is>
      </c>
      <c r="I32" s="24" t="inlineStr">
        <is>
          <t>Không có</t>
        </is>
      </c>
      <c r="J32" s="24" t="inlineStr">
        <is>
          <t>Accept: application/json
Content-Type: application/json</t>
        </is>
      </c>
      <c r="K32" s="24" t="inlineStr">
        <is>
          <t>{
  "login": "{{login}}",
  "password": "{{password}}"
}</t>
        </is>
      </c>
      <c r="L32"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32" s="24" t="inlineStr">
        <is>
          <t>200</t>
        </is>
      </c>
      <c r="N32" s="24" t="inlineStr">
        <is>
          <t>200; trả access, refresh, session, user và danh sách doanh nghiệp</t>
        </is>
      </c>
      <c r="O32" s="24" t="inlineStr">
        <is>
          <t>pm.test('HTTP thuộc [200]', () =&gt; pm.expect([200]).to.include(pm.response.code));
pm.test('Response không lộ secret', () =&gt; { const t=pm.response.text().toLowerCase(); ['password','refresh_token','access_token','otp_code'].forEach(k =&gt; pm.expect(t).not.to.include(k)); });</t>
        </is>
      </c>
      <c r="P32" s="25" t="inlineStr">
        <is>
          <t>Not Run</t>
        </is>
      </c>
      <c r="Q32" s="25" t="inlineStr"/>
      <c r="R32" s="25" t="inlineStr"/>
      <c r="S32" s="25" t="inlineStr"/>
      <c r="T32" s="25" t="inlineStr"/>
      <c r="U32" s="25" t="inlineStr"/>
      <c r="V32" s="24">
        <f>IF(P32="Not Run","Chưa chạy",IF(R32="","Thiếu Tester",IF(S32="","Thiếu Ngày chạy",IF(Q32="","Thiếu Actual Result",IF(AND(P32="Fail",T32=""),"Thiếu Defect ID",IF(AND(OR(P32="Fail",P32="Blocked"),U32=""),"Thiếu Evidence","Hợp lệ"))))))</f>
        <v/>
      </c>
    </row>
    <row r="33" ht="125" customHeight="1">
      <c r="A33" s="24" t="inlineStr">
        <is>
          <t>COM03-02</t>
        </is>
      </c>
      <c r="B33" s="24" t="inlineStr">
        <is>
          <t>COM03-02</t>
        </is>
      </c>
      <c r="C33" s="24" t="inlineStr">
        <is>
          <t>UC-COM-03</t>
        </is>
      </c>
      <c r="D33" s="24" t="inlineStr">
        <is>
          <t>Đăng nhập bằng username hợp lệ, không phân biệt hoa thường</t>
        </is>
      </c>
      <c r="E33" s="24" t="inlineStr">
        <is>
          <t>POST</t>
        </is>
      </c>
      <c r="F33" s="24" t="inlineStr">
        <is>
          <t>{{base_url}}/api/v1/common/auth/login/</t>
        </is>
      </c>
      <c r="G33" s="24" t="inlineStr">
        <is>
          <t>Không cần token (public endpoint)</t>
        </is>
      </c>
      <c r="H33" s="24" t="inlineStr">
        <is>
          <t>Các biến {{...}} trong path phải lấy từ response/seed; xem cột chuẩn bị dữ liệu.</t>
        </is>
      </c>
      <c r="I33" s="24" t="inlineStr">
        <is>
          <t>Không có</t>
        </is>
      </c>
      <c r="J33" s="24" t="inlineStr">
        <is>
          <t>Accept: application/json
Content-Type: application/json</t>
        </is>
      </c>
      <c r="K33" s="24" t="inlineStr">
        <is>
          <t>{
  "login": "{{login}}",
  "password": "{{password}}"
}</t>
        </is>
      </c>
      <c r="L33"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33" s="24" t="inlineStr">
        <is>
          <t>200</t>
        </is>
      </c>
      <c r="N33" s="24" t="inlineStr">
        <is>
          <t>Thành công như email; ghi LoginLog SUCCESS</t>
        </is>
      </c>
      <c r="O33" s="24" t="inlineStr">
        <is>
          <t>pm.test('HTTP thuộc [200]', () =&gt; pm.expect([200]).to.include(pm.response.code));
pm.test('Response không lộ secret', () =&gt; { const t=pm.response.text().toLowerCase(); ['password','refresh_token','access_token','otp_code'].forEach(k =&gt; pm.expect(t).not.to.include(k)); });</t>
        </is>
      </c>
      <c r="P33" s="25" t="inlineStr">
        <is>
          <t>Not Run</t>
        </is>
      </c>
      <c r="Q33" s="25" t="inlineStr"/>
      <c r="R33" s="25" t="inlineStr"/>
      <c r="S33" s="25" t="inlineStr"/>
      <c r="T33" s="25" t="inlineStr"/>
      <c r="U33" s="25" t="inlineStr"/>
      <c r="V33" s="24">
        <f>IF(P33="Not Run","Chưa chạy",IF(R33="","Thiếu Tester",IF(S33="","Thiếu Ngày chạy",IF(Q33="","Thiếu Actual Result",IF(AND(P33="Fail",T33=""),"Thiếu Defect ID",IF(AND(OR(P33="Fail",P33="Blocked"),U33=""),"Thiếu Evidence","Hợp lệ"))))))</f>
        <v/>
      </c>
    </row>
    <row r="34" ht="125" customHeight="1">
      <c r="A34" s="24" t="inlineStr">
        <is>
          <t>COM03-03</t>
        </is>
      </c>
      <c r="B34" s="24" t="inlineStr">
        <is>
          <t>COM03-03</t>
        </is>
      </c>
      <c r="C34" s="24" t="inlineStr">
        <is>
          <t>UC-COM-03</t>
        </is>
      </c>
      <c r="D34" s="24" t="inlineStr">
        <is>
          <t>Sai password hoặc identifier không tồn tại</t>
        </is>
      </c>
      <c r="E34" s="24" t="inlineStr">
        <is>
          <t>POST</t>
        </is>
      </c>
      <c r="F34" s="24" t="inlineStr">
        <is>
          <t>{{base_url}}/api/v1/common/auth/login/</t>
        </is>
      </c>
      <c r="G34" s="24" t="inlineStr">
        <is>
          <t>Không cần token (public endpoint)</t>
        </is>
      </c>
      <c r="H34" s="24" t="inlineStr">
        <is>
          <t>Các biến {{...}} trong path phải lấy từ response/seed; xem cột chuẩn bị dữ liệu.</t>
        </is>
      </c>
      <c r="I34" s="24" t="inlineStr">
        <is>
          <t>Không có</t>
        </is>
      </c>
      <c r="J34" s="24" t="inlineStr">
        <is>
          <t>Accept: application/json
Content-Type: application/json</t>
        </is>
      </c>
      <c r="K34" s="24" t="inlineStr">
        <is>
          <t>{
  "login": "{{login}}",
  "password": "{{password}}"
}</t>
        </is>
      </c>
      <c r="L34"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34" s="24" t="inlineStr">
        <is>
          <t>401</t>
        </is>
      </c>
      <c r="N34" s="24" t="inlineStr">
        <is>
          <t>401; thông báo không cho phép suy ra tài khoản tồn tại; ghi log phù hợp</t>
        </is>
      </c>
      <c r="O34" s="24" t="inlineStr">
        <is>
          <t>pm.test('HTTP thuộc [401]', () =&gt; pm.expect([401]).to.include(pm.response.code));
pm.test('Response không lộ secret', () =&gt; { const t=pm.response.text().toLowerCase(); ['password','refresh_token','access_token','otp_code'].forEach(k =&gt; pm.expect(t).not.to.include(k)); });</t>
        </is>
      </c>
      <c r="P34" s="25" t="inlineStr">
        <is>
          <t>Not Run</t>
        </is>
      </c>
      <c r="Q34" s="25" t="inlineStr"/>
      <c r="R34" s="25" t="inlineStr"/>
      <c r="S34" s="25" t="inlineStr"/>
      <c r="T34" s="25" t="inlineStr"/>
      <c r="U34" s="25" t="inlineStr"/>
      <c r="V34" s="24">
        <f>IF(P34="Not Run","Chưa chạy",IF(R34="","Thiếu Tester",IF(S34="","Thiếu Ngày chạy",IF(Q34="","Thiếu Actual Result",IF(AND(P34="Fail",T34=""),"Thiếu Defect ID",IF(AND(OR(P34="Fail",P34="Blocked"),U34=""),"Thiếu Evidence","Hợp lệ"))))))</f>
        <v/>
      </c>
    </row>
    <row r="35" ht="125" customHeight="1">
      <c r="A35" s="24" t="inlineStr">
        <is>
          <t>COM03-04</t>
        </is>
      </c>
      <c r="B35" s="24" t="inlineStr">
        <is>
          <t>COM03-04</t>
        </is>
      </c>
      <c r="C35" s="24" t="inlineStr">
        <is>
          <t>UC-COM-03</t>
        </is>
      </c>
      <c r="D35" s="24" t="inlineStr">
        <is>
          <t>Tài khoản chưa xác thực</t>
        </is>
      </c>
      <c r="E35" s="24" t="inlineStr">
        <is>
          <t>POST</t>
        </is>
      </c>
      <c r="F35" s="24" t="inlineStr">
        <is>
          <t>{{base_url}}/api/v1/common/auth/login/</t>
        </is>
      </c>
      <c r="G35" s="24" t="inlineStr">
        <is>
          <t>Không cần token (public endpoint)</t>
        </is>
      </c>
      <c r="H35" s="24" t="inlineStr">
        <is>
          <t>Các biến {{...}} trong path phải lấy từ response/seed; xem cột chuẩn bị dữ liệu.</t>
        </is>
      </c>
      <c r="I35" s="24" t="inlineStr">
        <is>
          <t>Không có</t>
        </is>
      </c>
      <c r="J35" s="24" t="inlineStr">
        <is>
          <t>Accept: application/json
Content-Type: application/json</t>
        </is>
      </c>
      <c r="K35" s="24" t="inlineStr">
        <is>
          <t>{
  "login": "{{login}}",
  "password": "{{password}}"
}</t>
        </is>
      </c>
      <c r="L35"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35" s="24" t="inlineStr">
        <is>
          <t>401</t>
        </is>
      </c>
      <c r="N35" s="24" t="inlineStr">
        <is>
          <t>401 với trạng thái pending verification; không cấp token</t>
        </is>
      </c>
      <c r="O35" s="24" t="inlineStr">
        <is>
          <t>pm.test('HTTP thuộc [401]', () =&gt; pm.expect([401]).to.include(pm.response.code));
pm.test('Response không lộ secret', () =&gt; { const t=pm.response.text().toLowerCase(); ['password','refresh_token','access_token','otp_code'].forEach(k =&gt; pm.expect(t).not.to.include(k)); });</t>
        </is>
      </c>
      <c r="P35" s="25" t="inlineStr">
        <is>
          <t>Not Run</t>
        </is>
      </c>
      <c r="Q35" s="25" t="inlineStr"/>
      <c r="R35" s="25" t="inlineStr"/>
      <c r="S35" s="25" t="inlineStr"/>
      <c r="T35" s="25" t="inlineStr"/>
      <c r="U35" s="25" t="inlineStr"/>
      <c r="V35" s="24">
        <f>IF(P35="Not Run","Chưa chạy",IF(R35="","Thiếu Tester",IF(S35="","Thiếu Ngày chạy",IF(Q35="","Thiếu Actual Result",IF(AND(P35="Fail",T35=""),"Thiếu Defect ID",IF(AND(OR(P35="Fail",P35="Blocked"),U35=""),"Thiếu Evidence","Hợp lệ"))))))</f>
        <v/>
      </c>
    </row>
    <row r="36" ht="125" customHeight="1">
      <c r="A36" s="24" t="inlineStr">
        <is>
          <t>COM03-05</t>
        </is>
      </c>
      <c r="B36" s="24" t="inlineStr">
        <is>
          <t>COM03-05</t>
        </is>
      </c>
      <c r="C36" s="24" t="inlineStr">
        <is>
          <t>UC-COM-03</t>
        </is>
      </c>
      <c r="D36" s="24" t="inlineStr">
        <is>
          <t>Sai 5 lần liên tiếp</t>
        </is>
      </c>
      <c r="E36" s="24" t="inlineStr">
        <is>
          <t>POST</t>
        </is>
      </c>
      <c r="F36" s="24" t="inlineStr">
        <is>
          <t>{{base_url}}/api/v1/common/auth/login/</t>
        </is>
      </c>
      <c r="G36" s="24" t="inlineStr">
        <is>
          <t>Không cần token (public endpoint)</t>
        </is>
      </c>
      <c r="H36" s="24" t="inlineStr">
        <is>
          <t>Các biến {{...}} trong path phải lấy từ response/seed; xem cột chuẩn bị dữ liệu.</t>
        </is>
      </c>
      <c r="I36" s="24" t="inlineStr">
        <is>
          <t>Không có</t>
        </is>
      </c>
      <c r="J36" s="24" t="inlineStr">
        <is>
          <t>Accept: application/json
Content-Type: application/json</t>
        </is>
      </c>
      <c r="K36" s="24" t="inlineStr">
        <is>
          <t>{
  "login": "{{login}}",
  "password": "{{password}}"
}</t>
        </is>
      </c>
      <c r="L36"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
4. Gửi request sai đủ 5 lần; lần tiếp theo dùng dữ liệu đúng để kiểm tra challenge/session đã bị vô hiệu.</t>
        </is>
      </c>
      <c r="M36" s="24" t="inlineStr">
        <is>
          <t>200</t>
        </is>
      </c>
      <c r="N36" s="24" t="inlineStr">
        <is>
          <t>Tài khoản khóa 15 phút; các session đang hoạt động bị revoke</t>
        </is>
      </c>
      <c r="O36" s="24" t="inlineStr">
        <is>
          <t>pm.test('HTTP thuộc [200]', () =&gt; pm.expect([200]).to.include(pm.response.code));
pm.test('Response không lộ secret', () =&gt; { const t=pm.response.text().toLowerCase(); ['password','refresh_token','access_token','otp_code'].forEach(k =&gt; pm.expect(t).not.to.include(k)); });</t>
        </is>
      </c>
      <c r="P36" s="25" t="inlineStr">
        <is>
          <t>Not Run</t>
        </is>
      </c>
      <c r="Q36" s="25" t="inlineStr"/>
      <c r="R36" s="25" t="inlineStr"/>
      <c r="S36" s="25" t="inlineStr"/>
      <c r="T36" s="25" t="inlineStr"/>
      <c r="U36" s="25" t="inlineStr"/>
      <c r="V36" s="24">
        <f>IF(P36="Not Run","Chưa chạy",IF(R36="","Thiếu Tester",IF(S36="","Thiếu Ngày chạy",IF(Q36="","Thiếu Actual Result",IF(AND(P36="Fail",T36=""),"Thiếu Defect ID",IF(AND(OR(P36="Fail",P36="Blocked"),U36=""),"Thiếu Evidence","Hợp lệ"))))))</f>
        <v/>
      </c>
    </row>
    <row r="37" ht="125" customHeight="1">
      <c r="A37" s="24" t="inlineStr">
        <is>
          <t>COM03-06</t>
        </is>
      </c>
      <c r="B37" s="24" t="inlineStr">
        <is>
          <t>COM03-06</t>
        </is>
      </c>
      <c r="C37" s="24" t="inlineStr">
        <is>
          <t>UC-COM-03</t>
        </is>
      </c>
      <c r="D37" s="24" t="inlineStr">
        <is>
          <t>Đăng nhập đúng trong thời gian bị khóa</t>
        </is>
      </c>
      <c r="E37" s="24" t="inlineStr">
        <is>
          <t>POST</t>
        </is>
      </c>
      <c r="F37" s="24" t="inlineStr">
        <is>
          <t>{{base_url}}/api/v1/common/auth/login/</t>
        </is>
      </c>
      <c r="G37" s="24" t="inlineStr">
        <is>
          <t>Không cần token (public endpoint)</t>
        </is>
      </c>
      <c r="H37" s="24" t="inlineStr">
        <is>
          <t>Các biến {{...}} trong path phải lấy từ response/seed; xem cột chuẩn bị dữ liệu.</t>
        </is>
      </c>
      <c r="I37" s="24" t="inlineStr">
        <is>
          <t>Không có</t>
        </is>
      </c>
      <c r="J37" s="24" t="inlineStr">
        <is>
          <t>Accept: application/json
Content-Type: application/json</t>
        </is>
      </c>
      <c r="K37" s="24" t="inlineStr">
        <is>
          <t>{
  "login": "{{login}}",
  "password": "{{password}}"
}</t>
        </is>
      </c>
      <c r="L37"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37" s="24" t="inlineStr">
        <is>
          <t>200</t>
        </is>
      </c>
      <c r="N37" s="24" t="inlineStr">
        <is>
          <t>Bị từ chối bằng thông báo chung; không tiết lộ chi tiết khóa</t>
        </is>
      </c>
      <c r="O37" s="24" t="inlineStr">
        <is>
          <t>pm.test('HTTP thuộc [200]', () =&gt; pm.expect([200]).to.include(pm.response.code));
pm.test('Response không lộ secret', () =&gt; { const t=pm.response.text().toLowerCase(); ['password','refresh_token','access_token','otp_code'].forEach(k =&gt; pm.expect(t).not.to.include(k)); });</t>
        </is>
      </c>
      <c r="P37" s="25" t="inlineStr">
        <is>
          <t>Not Run</t>
        </is>
      </c>
      <c r="Q37" s="25" t="inlineStr"/>
      <c r="R37" s="25" t="inlineStr"/>
      <c r="S37" s="25" t="inlineStr"/>
      <c r="T37" s="25" t="inlineStr"/>
      <c r="U37" s="25" t="inlineStr"/>
      <c r="V37" s="24">
        <f>IF(P37="Not Run","Chưa chạy",IF(R37="","Thiếu Tester",IF(S37="","Thiếu Ngày chạy",IF(Q37="","Thiếu Actual Result",IF(AND(P37="Fail",T37=""),"Thiếu Defect ID",IF(AND(OR(P37="Fail",P37="Blocked"),U37=""),"Thiếu Evidence","Hợp lệ"))))))</f>
        <v/>
      </c>
    </row>
    <row r="38" ht="125" customHeight="1">
      <c r="A38" s="24" t="inlineStr">
        <is>
          <t>COM03-07</t>
        </is>
      </c>
      <c r="B38" s="24" t="inlineStr">
        <is>
          <t>COM03-07</t>
        </is>
      </c>
      <c r="C38" s="24" t="inlineStr">
        <is>
          <t>UC-COM-03</t>
        </is>
      </c>
      <c r="D38" s="24" t="inlineStr">
        <is>
          <t>Đăng nhập sau khi hết thời gian khóa</t>
        </is>
      </c>
      <c r="E38" s="24" t="inlineStr">
        <is>
          <t>POST</t>
        </is>
      </c>
      <c r="F38" s="24" t="inlineStr">
        <is>
          <t>{{base_url}}/api/v1/common/auth/login/</t>
        </is>
      </c>
      <c r="G38" s="24" t="inlineStr">
        <is>
          <t>Không cần token (public endpoint)</t>
        </is>
      </c>
      <c r="H38" s="24" t="inlineStr">
        <is>
          <t>Các biến {{...}} trong path phải lấy từ response/seed; xem cột chuẩn bị dữ liệu.</t>
        </is>
      </c>
      <c r="I38" s="24" t="inlineStr">
        <is>
          <t>Không có</t>
        </is>
      </c>
      <c r="J38" s="24" t="inlineStr">
        <is>
          <t>Accept: application/json
Content-Type: application/json</t>
        </is>
      </c>
      <c r="K38" s="24" t="inlineStr">
        <is>
          <t>{
  "login": "{{login}}",
  "password": "{{password}}"
}</t>
        </is>
      </c>
      <c r="L38"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38" s="24" t="inlineStr">
        <is>
          <t>200</t>
        </is>
      </c>
      <c r="N38" s="24" t="inlineStr">
        <is>
          <t>Thành công; reset failed count và locked_until</t>
        </is>
      </c>
      <c r="O38" s="24" t="inlineStr">
        <is>
          <t>pm.test('HTTP thuộc [200]', () =&gt; pm.expect([200]).to.include(pm.response.code));
pm.test('Response không lộ secret', () =&gt; { const t=pm.response.text().toLowerCase(); ['password','refresh_token','access_token','otp_code'].forEach(k =&gt; pm.expect(t).not.to.include(k)); });</t>
        </is>
      </c>
      <c r="P38" s="25" t="inlineStr">
        <is>
          <t>Not Run</t>
        </is>
      </c>
      <c r="Q38" s="25" t="inlineStr"/>
      <c r="R38" s="25" t="inlineStr"/>
      <c r="S38" s="25" t="inlineStr"/>
      <c r="T38" s="25" t="inlineStr"/>
      <c r="U38" s="25" t="inlineStr"/>
      <c r="V38" s="24">
        <f>IF(P38="Not Run","Chưa chạy",IF(R38="","Thiếu Tester",IF(S38="","Thiếu Ngày chạy",IF(Q38="","Thiếu Actual Result",IF(AND(P38="Fail",T38=""),"Thiếu Defect ID",IF(AND(OR(P38="Fail",P38="Blocked"),U38=""),"Thiếu Evidence","Hợp lệ"))))))</f>
        <v/>
      </c>
    </row>
    <row r="39" ht="125" customHeight="1">
      <c r="A39" s="24" t="inlineStr">
        <is>
          <t>COM03-08</t>
        </is>
      </c>
      <c r="B39" s="24" t="inlineStr">
        <is>
          <t>COM03-08</t>
        </is>
      </c>
      <c r="C39" s="24" t="inlineStr">
        <is>
          <t>UC-COM-03</t>
        </is>
      </c>
      <c r="D39" s="24" t="inlineStr">
        <is>
          <t>Vượt rate limit 30 lần/5 phút</t>
        </is>
      </c>
      <c r="E39" s="24" t="inlineStr">
        <is>
          <t>POST</t>
        </is>
      </c>
      <c r="F39" s="24" t="inlineStr">
        <is>
          <t>{{base_url}}/api/v1/common/auth/login/</t>
        </is>
      </c>
      <c r="G39" s="24" t="inlineStr">
        <is>
          <t>Không cần token (public endpoint)</t>
        </is>
      </c>
      <c r="H39" s="24" t="inlineStr">
        <is>
          <t>Các biến {{...}} trong path phải lấy từ response/seed; xem cột chuẩn bị dữ liệu.</t>
        </is>
      </c>
      <c r="I39" s="24" t="inlineStr">
        <is>
          <t>Không có</t>
        </is>
      </c>
      <c r="J39" s="24" t="inlineStr">
        <is>
          <t>Accept: application/json
Content-Type: application/json</t>
        </is>
      </c>
      <c r="K39" s="24" t="inlineStr">
        <is>
          <t>{
  "login": "{{login}}",
  "password": "{{password}}"
}</t>
        </is>
      </c>
      <c r="L39"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39" s="24" t="inlineStr">
        <is>
          <t>429</t>
        </is>
      </c>
      <c r="N39" s="24" t="inlineStr">
        <is>
          <t>429; áp dụng theo identifier và IP</t>
        </is>
      </c>
      <c r="O39" s="24" t="inlineStr">
        <is>
          <t>pm.test('HTTP thuộc [429]', () =&gt; pm.expect([429]).to.include(pm.response.code));
pm.test('Response không lộ secret', () =&gt; { const t=pm.response.text().toLowerCase(); ['password','refresh_token','access_token','otp_code'].forEach(k =&gt; pm.expect(t).not.to.include(k)); });</t>
        </is>
      </c>
      <c r="P39" s="25" t="inlineStr">
        <is>
          <t>Not Run</t>
        </is>
      </c>
      <c r="Q39" s="25" t="inlineStr"/>
      <c r="R39" s="25" t="inlineStr"/>
      <c r="S39" s="25" t="inlineStr"/>
      <c r="T39" s="25" t="inlineStr"/>
      <c r="U39" s="25" t="inlineStr"/>
      <c r="V39" s="24">
        <f>IF(P39="Not Run","Chưa chạy",IF(R39="","Thiếu Tester",IF(S39="","Thiếu Ngày chạy",IF(Q39="","Thiếu Actual Result",IF(AND(P39="Fail",T39=""),"Thiếu Defect ID",IF(AND(OR(P39="Fail",P39="Blocked"),U39=""),"Thiếu Evidence","Hợp lệ"))))))</f>
        <v/>
      </c>
    </row>
    <row r="40" ht="125" customHeight="1">
      <c r="A40" s="24" t="inlineStr">
        <is>
          <t>COM03-09</t>
        </is>
      </c>
      <c r="B40" s="24" t="inlineStr">
        <is>
          <t>COM03-09</t>
        </is>
      </c>
      <c r="C40" s="24" t="inlineStr">
        <is>
          <t>UC-COM-03</t>
        </is>
      </c>
      <c r="D40" s="24" t="inlineStr">
        <is>
          <t>User chưa có doanh nghiệp</t>
        </is>
      </c>
      <c r="E40" s="24" t="inlineStr">
        <is>
          <t>POST</t>
        </is>
      </c>
      <c r="F40" s="24" t="inlineStr">
        <is>
          <t>{{base_url}}/api/v1/common/auth/login/</t>
        </is>
      </c>
      <c r="G40" s="24" t="inlineStr">
        <is>
          <t>Không cần token (public endpoint)</t>
        </is>
      </c>
      <c r="H40" s="24" t="inlineStr">
        <is>
          <t>Các biến {{...}} trong path phải lấy từ response/seed; xem cột chuẩn bị dữ liệu.</t>
        </is>
      </c>
      <c r="I40" s="24" t="inlineStr">
        <is>
          <t>Không có</t>
        </is>
      </c>
      <c r="J40" s="24" t="inlineStr">
        <is>
          <t>Accept: application/json
Content-Type: application/json</t>
        </is>
      </c>
      <c r="K40" s="24" t="inlineStr">
        <is>
          <t>{
  "login": "{{login}}",
  "password": "{{password}}"
}</t>
        </is>
      </c>
      <c r="L40"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40" s="24" t="inlineStr">
        <is>
          <t>200</t>
        </is>
      </c>
      <c r="N40" s="24" t="inlineStr">
        <is>
          <t>requires_company_setup=true; không tự chọn company</t>
        </is>
      </c>
      <c r="O40" s="24" t="inlineStr">
        <is>
          <t>pm.test('HTTP thuộc [200]', () =&gt; pm.expect([200]).to.include(pm.response.code));
pm.test('Response không lộ secret', () =&gt; { const t=pm.response.text().toLowerCase(); ['password','refresh_token','access_token','otp_code'].forEach(k =&gt; pm.expect(t).not.to.include(k)); });</t>
        </is>
      </c>
      <c r="P40" s="25" t="inlineStr">
        <is>
          <t>Not Run</t>
        </is>
      </c>
      <c r="Q40" s="25" t="inlineStr"/>
      <c r="R40" s="25" t="inlineStr"/>
      <c r="S40" s="25" t="inlineStr"/>
      <c r="T40" s="25" t="inlineStr"/>
      <c r="U40" s="25" t="inlineStr"/>
      <c r="V40" s="24">
        <f>IF(P40="Not Run","Chưa chạy",IF(R40="","Thiếu Tester",IF(S40="","Thiếu Ngày chạy",IF(Q40="","Thiếu Actual Result",IF(AND(P40="Fail",T40=""),"Thiếu Defect ID",IF(AND(OR(P40="Fail",P40="Blocked"),U40=""),"Thiếu Evidence","Hợp lệ"))))))</f>
        <v/>
      </c>
    </row>
    <row r="41" ht="125" customHeight="1">
      <c r="A41" s="24" t="inlineStr">
        <is>
          <t>COM03-10</t>
        </is>
      </c>
      <c r="B41" s="24" t="inlineStr">
        <is>
          <t>COM03-10</t>
        </is>
      </c>
      <c r="C41" s="24" t="inlineStr">
        <is>
          <t>UC-COM-03</t>
        </is>
      </c>
      <c r="D41" s="24" t="inlineStr">
        <is>
          <t>User có đúng một doanh nghiệp</t>
        </is>
      </c>
      <c r="E41" s="24" t="inlineStr">
        <is>
          <t>POST</t>
        </is>
      </c>
      <c r="F41" s="24" t="inlineStr">
        <is>
          <t>{{base_url}}/api/v1/common/auth/login/</t>
        </is>
      </c>
      <c r="G41" s="24" t="inlineStr">
        <is>
          <t>Không cần token (public endpoint)</t>
        </is>
      </c>
      <c r="H41" s="24" t="inlineStr">
        <is>
          <t>Các biến {{...}} trong path phải lấy từ response/seed; xem cột chuẩn bị dữ liệu.</t>
        </is>
      </c>
      <c r="I41" s="24" t="inlineStr">
        <is>
          <t>Không có</t>
        </is>
      </c>
      <c r="J41" s="24" t="inlineStr">
        <is>
          <t>Accept: application/json
Content-Type: application/json</t>
        </is>
      </c>
      <c r="K41" s="24" t="inlineStr">
        <is>
          <t>{
  "login": "{{login}}",
  "password": "{{password}}"
}</t>
        </is>
      </c>
      <c r="L41"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41" s="24" t="inlineStr">
        <is>
          <t>200</t>
        </is>
      </c>
      <c r="N41" s="24" t="inlineStr">
        <is>
          <t>Tự chọn current_company; requires_company_selection=false</t>
        </is>
      </c>
      <c r="O41" s="24" t="inlineStr">
        <is>
          <t>pm.test('HTTP thuộc [200]', () =&gt; pm.expect([200]).to.include(pm.response.code));
pm.test('Response không lộ secret', () =&gt; { const t=pm.response.text().toLowerCase(); ['password','refresh_token','access_token','otp_code'].forEach(k =&gt; pm.expect(t).not.to.include(k)); });</t>
        </is>
      </c>
      <c r="P41" s="25" t="inlineStr">
        <is>
          <t>Not Run</t>
        </is>
      </c>
      <c r="Q41" s="25" t="inlineStr"/>
      <c r="R41" s="25" t="inlineStr"/>
      <c r="S41" s="25" t="inlineStr"/>
      <c r="T41" s="25" t="inlineStr"/>
      <c r="U41" s="25" t="inlineStr"/>
      <c r="V41" s="24">
        <f>IF(P41="Not Run","Chưa chạy",IF(R41="","Thiếu Tester",IF(S41="","Thiếu Ngày chạy",IF(Q41="","Thiếu Actual Result",IF(AND(P41="Fail",T41=""),"Thiếu Defect ID",IF(AND(OR(P41="Fail",P41="Blocked"),U41=""),"Thiếu Evidence","Hợp lệ"))))))</f>
        <v/>
      </c>
    </row>
    <row r="42" ht="125" customHeight="1">
      <c r="A42" s="24" t="inlineStr">
        <is>
          <t>COM03-11</t>
        </is>
      </c>
      <c r="B42" s="24" t="inlineStr">
        <is>
          <t>COM03-11</t>
        </is>
      </c>
      <c r="C42" s="24" t="inlineStr">
        <is>
          <t>UC-COM-03</t>
        </is>
      </c>
      <c r="D42" s="24" t="inlineStr">
        <is>
          <t>User có nhiều doanh nghiệp</t>
        </is>
      </c>
      <c r="E42" s="24" t="inlineStr">
        <is>
          <t>POST</t>
        </is>
      </c>
      <c r="F42" s="24" t="inlineStr">
        <is>
          <t>{{base_url}}/api/v1/common/auth/login/</t>
        </is>
      </c>
      <c r="G42" s="24" t="inlineStr">
        <is>
          <t>Không cần token (public endpoint)</t>
        </is>
      </c>
      <c r="H42" s="24" t="inlineStr">
        <is>
          <t>Các biến {{...}} trong path phải lấy từ response/seed; xem cột chuẩn bị dữ liệu.</t>
        </is>
      </c>
      <c r="I42" s="24" t="inlineStr">
        <is>
          <t>Không có</t>
        </is>
      </c>
      <c r="J42" s="24" t="inlineStr">
        <is>
          <t>Accept: application/json
Content-Type: application/json</t>
        </is>
      </c>
      <c r="K42" s="24" t="inlineStr">
        <is>
          <t>{
  "login": "{{login}}",
  "password": "{{password}}"
}</t>
        </is>
      </c>
      <c r="L42"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42" s="24" t="inlineStr">
        <is>
          <t>200</t>
        </is>
      </c>
      <c r="N42" s="24" t="inlineStr">
        <is>
          <t>requires_company_selection=true; không tự chọn tùy tiện</t>
        </is>
      </c>
      <c r="O42" s="24" t="inlineStr">
        <is>
          <t>pm.test('HTTP thuộc [200]', () =&gt; pm.expect([200]).to.include(pm.response.code));
pm.test('Response không lộ secret', () =&gt; { const t=pm.response.text().toLowerCase(); ['password','refresh_token','access_token','otp_code'].forEach(k =&gt; pm.expect(t).not.to.include(k)); });</t>
        </is>
      </c>
      <c r="P42" s="25" t="inlineStr">
        <is>
          <t>Not Run</t>
        </is>
      </c>
      <c r="Q42" s="25" t="inlineStr"/>
      <c r="R42" s="25" t="inlineStr"/>
      <c r="S42" s="25" t="inlineStr"/>
      <c r="T42" s="25" t="inlineStr"/>
      <c r="U42" s="25" t="inlineStr"/>
      <c r="V42" s="24">
        <f>IF(P42="Not Run","Chưa chạy",IF(R42="","Thiếu Tester",IF(S42="","Thiếu Ngày chạy",IF(Q42="","Thiếu Actual Result",IF(AND(P42="Fail",T42=""),"Thiếu Defect ID",IF(AND(OR(P42="Fail",P42="Blocked"),U42=""),"Thiếu Evidence","Hợp lệ"))))))</f>
        <v/>
      </c>
    </row>
    <row r="43" ht="125" customHeight="1">
      <c r="A43" s="24" t="inlineStr">
        <is>
          <t>COM03-12</t>
        </is>
      </c>
      <c r="B43" s="24" t="inlineStr">
        <is>
          <t>COM03-12</t>
        </is>
      </c>
      <c r="C43" s="24" t="inlineStr">
        <is>
          <t>UC-COM-03</t>
        </is>
      </c>
      <c r="D43" s="24" t="inlineStr">
        <is>
          <t>Refresh token hợp lệ/revoked/hết hạn/sai chữ ký</t>
        </is>
      </c>
      <c r="E43" s="24" t="inlineStr">
        <is>
          <t>POST</t>
        </is>
      </c>
      <c r="F43" s="24" t="inlineStr">
        <is>
          <t>{{base_url}}/api/token/refresh/</t>
        </is>
      </c>
      <c r="G43" s="24" t="inlineStr">
        <is>
          <t>Không cần token (public endpoint)</t>
        </is>
      </c>
      <c r="H43" s="24" t="inlineStr">
        <is>
          <t>Các biến {{...}} trong path phải lấy từ response/seed; xem cột chuẩn bị dữ liệu.</t>
        </is>
      </c>
      <c r="I43" s="24" t="inlineStr">
        <is>
          <t>Không có</t>
        </is>
      </c>
      <c r="J43" s="24" t="inlineStr">
        <is>
          <t>Accept: application/json
Content-Type: application/json</t>
        </is>
      </c>
      <c r="K43" s="24" t="inlineStr">
        <is>
          <t>{
  "refresh": "{{refresh_token}}"
}</t>
        </is>
      </c>
      <c r="L43"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43" s="24" t="inlineStr">
        <is>
          <t>401</t>
        </is>
      </c>
      <c r="N43" s="24" t="inlineStr">
        <is>
          <t>Chỉ token hợp lệ của session active được refresh; còn lại 401</t>
        </is>
      </c>
      <c r="O43" s="24" t="inlineStr">
        <is>
          <t>pm.test('HTTP thuộc [401]', () =&gt; pm.expect([401]).to.include(pm.response.code));
pm.test('Response không lộ secret', () =&gt; { const t=pm.response.text().toLowerCase(); ['password','refresh_token','access_token','otp_code'].forEach(k =&gt; pm.expect(t).not.to.include(k)); });</t>
        </is>
      </c>
      <c r="P43" s="25" t="inlineStr">
        <is>
          <t>Not Run</t>
        </is>
      </c>
      <c r="Q43" s="25" t="inlineStr"/>
      <c r="R43" s="25" t="inlineStr"/>
      <c r="S43" s="25" t="inlineStr"/>
      <c r="T43" s="25" t="inlineStr"/>
      <c r="U43" s="25" t="inlineStr"/>
      <c r="V43" s="24">
        <f>IF(P43="Not Run","Chưa chạy",IF(R43="","Thiếu Tester",IF(S43="","Thiếu Ngày chạy",IF(Q43="","Thiếu Actual Result",IF(AND(P43="Fail",T43=""),"Thiếu Defect ID",IF(AND(OR(P43="Fail",P43="Blocked"),U43=""),"Thiếu Evidence","Hợp lệ"))))))</f>
        <v/>
      </c>
    </row>
    <row r="44" ht="125" customHeight="1">
      <c r="A44" s="24" t="inlineStr">
        <is>
          <t>COM03-13</t>
        </is>
      </c>
      <c r="B44" s="24" t="inlineStr">
        <is>
          <t>COM03-13</t>
        </is>
      </c>
      <c r="C44" s="24" t="inlineStr">
        <is>
          <t>UC-COM-03</t>
        </is>
      </c>
      <c r="D44" s="24" t="inlineStr">
        <is>
          <t>Hai thiết bị đăng nhập cùng lúc</t>
        </is>
      </c>
      <c r="E44" s="24" t="inlineStr">
        <is>
          <t>POST</t>
        </is>
      </c>
      <c r="F44" s="24" t="inlineStr">
        <is>
          <t>{{base_url}}/api/v1/common/auth/login/</t>
        </is>
      </c>
      <c r="G44" s="24" t="inlineStr">
        <is>
          <t>Không cần token (public endpoint)</t>
        </is>
      </c>
      <c r="H44" s="24" t="inlineStr">
        <is>
          <t>Các biến {{...}} trong path phải lấy từ response/seed; xem cột chuẩn bị dữ liệu.</t>
        </is>
      </c>
      <c r="I44" s="24" t="inlineStr">
        <is>
          <t>Không có</t>
        </is>
      </c>
      <c r="J44" s="24" t="inlineStr">
        <is>
          <t>Accept: application/json
Content-Type: application/json</t>
        </is>
      </c>
      <c r="K44" s="24" t="inlineStr">
        <is>
          <t>{
  "login": "{{login}}",
  "password": "{{password}}"
}</t>
        </is>
      </c>
      <c r="L44"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44" s="24" t="inlineStr">
        <is>
          <t>200</t>
        </is>
      </c>
      <c r="N44" s="24" t="inlineStr">
        <is>
          <t>Tạo hai session ID độc lập, lưu IP/User-Agent và không ghi đè nhau</t>
        </is>
      </c>
      <c r="O44" s="24" t="inlineStr">
        <is>
          <t>pm.test('HTTP thuộc [200]', () =&gt; pm.expect([200]).to.include(pm.response.code));
pm.test('Response không lộ secret', () =&gt; { const t=pm.response.text().toLowerCase(); ['password','refresh_token','access_token','otp_code'].forEach(k =&gt; pm.expect(t).not.to.include(k)); });</t>
        </is>
      </c>
      <c r="P44" s="25" t="inlineStr">
        <is>
          <t>Not Run</t>
        </is>
      </c>
      <c r="Q44" s="25" t="inlineStr"/>
      <c r="R44" s="25" t="inlineStr"/>
      <c r="S44" s="25" t="inlineStr"/>
      <c r="T44" s="25" t="inlineStr"/>
      <c r="U44" s="25" t="inlineStr"/>
      <c r="V44" s="24">
        <f>IF(P44="Not Run","Chưa chạy",IF(R44="","Thiếu Tester",IF(S44="","Thiếu Ngày chạy",IF(Q44="","Thiếu Actual Result",IF(AND(P44="Fail",T44=""),"Thiếu Defect ID",IF(AND(OR(P44="Fail",P44="Blocked"),U44=""),"Thiếu Evidence","Hợp lệ"))))))</f>
        <v/>
      </c>
    </row>
    <row r="45" ht="125" customHeight="1">
      <c r="A45" s="24" t="inlineStr">
        <is>
          <t>COM04-01</t>
        </is>
      </c>
      <c r="B45" s="24" t="inlineStr">
        <is>
          <t>COM04-01</t>
        </is>
      </c>
      <c r="C45" s="24" t="inlineStr">
        <is>
          <t>UC-COM-04</t>
        </is>
      </c>
      <c r="D45" s="24" t="inlineStr">
        <is>
          <t>Đăng xuất với access và refresh của cùng session S1</t>
        </is>
      </c>
      <c r="E45" s="24" t="inlineStr">
        <is>
          <t>POST</t>
        </is>
      </c>
      <c r="F45" s="24" t="inlineStr">
        <is>
          <t>{{base_url}}/api/v1/common/auth/logout/</t>
        </is>
      </c>
      <c r="G45" s="24" t="inlineStr">
        <is>
          <t>{{access_token}} – actor theo TEST_DATA</t>
        </is>
      </c>
      <c r="H45" s="24" t="inlineStr">
        <is>
          <t>Các biến {{...}} trong path phải lấy từ response/seed; xem cột chuẩn bị dữ liệu.</t>
        </is>
      </c>
      <c r="I45" s="24" t="inlineStr">
        <is>
          <t>Không có</t>
        </is>
      </c>
      <c r="J45" s="24" t="inlineStr">
        <is>
          <t>Authorization: Bearer {{access_token}}
Accept: application/json
Content-Type: application/json</t>
        </is>
      </c>
      <c r="K45" s="24" t="inlineStr">
        <is>
          <t>{
  "refresh": "{{refresh_token}}"
}</t>
        </is>
      </c>
      <c r="L45"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45" s="24" t="inlineStr">
        <is>
          <t>204</t>
        </is>
      </c>
      <c r="N45" s="24" t="inlineStr">
        <is>
          <t>204; S1 revoked/refresh blacklisted; access S1 không gọi API được nữa</t>
        </is>
      </c>
      <c r="O45" s="24" t="inlineStr">
        <is>
          <t>pm.test('HTTP thuộc [204]', () =&gt; pm.expect([204]).to.include(pm.response.code));
pm.test('Response không lộ secret', () =&gt; { const t=pm.response.text().toLowerCase(); ['password','refresh_token','access_token','otp_code'].forEach(k =&gt; pm.expect(t).not.to.include(k)); });</t>
        </is>
      </c>
      <c r="P45" s="25" t="inlineStr">
        <is>
          <t>Not Run</t>
        </is>
      </c>
      <c r="Q45" s="25" t="inlineStr"/>
      <c r="R45" s="25" t="inlineStr"/>
      <c r="S45" s="25" t="inlineStr"/>
      <c r="T45" s="25" t="inlineStr"/>
      <c r="U45" s="25" t="inlineStr"/>
      <c r="V45" s="24">
        <f>IF(P45="Not Run","Chưa chạy",IF(R45="","Thiếu Tester",IF(S45="","Thiếu Ngày chạy",IF(Q45="","Thiếu Actual Result",IF(AND(P45="Fail",T45=""),"Thiếu Defect ID",IF(AND(OR(P45="Fail",P45="Blocked"),U45=""),"Thiếu Evidence","Hợp lệ"))))))</f>
        <v/>
      </c>
    </row>
    <row r="46" ht="125" customHeight="1">
      <c r="A46" s="24" t="inlineStr">
        <is>
          <t>COM04-02</t>
        </is>
      </c>
      <c r="B46" s="24" t="inlineStr">
        <is>
          <t>COM04-02</t>
        </is>
      </c>
      <c r="C46" s="24" t="inlineStr">
        <is>
          <t>UC-COM-04</t>
        </is>
      </c>
      <c r="D46" s="24" t="inlineStr">
        <is>
          <t>Sau khi logout S1, dùng S2 của cùng user</t>
        </is>
      </c>
      <c r="E46" s="24" t="inlineStr">
        <is>
          <t>POST</t>
        </is>
      </c>
      <c r="F46" s="24" t="inlineStr">
        <is>
          <t>{{base_url}}/api/v1/common/auth/logout/</t>
        </is>
      </c>
      <c r="G46" s="24" t="inlineStr">
        <is>
          <t>{{access_token}} – actor theo TEST_DATA</t>
        </is>
      </c>
      <c r="H46" s="24" t="inlineStr">
        <is>
          <t>Các biến {{...}} trong path phải lấy từ response/seed; xem cột chuẩn bị dữ liệu.</t>
        </is>
      </c>
      <c r="I46" s="24" t="inlineStr">
        <is>
          <t>Không có</t>
        </is>
      </c>
      <c r="J46" s="24" t="inlineStr">
        <is>
          <t>Authorization: Bearer {{access_token}}
Accept: application/json
Content-Type: application/json</t>
        </is>
      </c>
      <c r="K46" s="24" t="inlineStr">
        <is>
          <t>{
  "refresh": "{{refresh_token}}"
}</t>
        </is>
      </c>
      <c r="L46"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46" s="24" t="inlineStr">
        <is>
          <t>204</t>
        </is>
      </c>
      <c r="N46" s="24" t="inlineStr">
        <is>
          <t>S2 vẫn hoạt động bình thường</t>
        </is>
      </c>
      <c r="O46" s="24" t="inlineStr">
        <is>
          <t>pm.test('HTTP thuộc [204]', () =&gt; pm.expect([204]).to.include(pm.response.code));
pm.test('Response không lộ secret', () =&gt; { const t=pm.response.text().toLowerCase(); ['password','refresh_token','access_token','otp_code'].forEach(k =&gt; pm.expect(t).not.to.include(k)); });</t>
        </is>
      </c>
      <c r="P46" s="25" t="inlineStr">
        <is>
          <t>Not Run</t>
        </is>
      </c>
      <c r="Q46" s="25" t="inlineStr"/>
      <c r="R46" s="25" t="inlineStr"/>
      <c r="S46" s="25" t="inlineStr"/>
      <c r="T46" s="25" t="inlineStr"/>
      <c r="U46" s="25" t="inlineStr"/>
      <c r="V46" s="24">
        <f>IF(P46="Not Run","Chưa chạy",IF(R46="","Thiếu Tester",IF(S46="","Thiếu Ngày chạy",IF(Q46="","Thiếu Actual Result",IF(AND(P46="Fail",T46=""),"Thiếu Defect ID",IF(AND(OR(P46="Fail",P46="Blocked"),U46=""),"Thiếu Evidence","Hợp lệ"))))))</f>
        <v/>
      </c>
    </row>
    <row r="47" ht="125" customHeight="1">
      <c r="A47" s="24" t="inlineStr">
        <is>
          <t>COM04-03</t>
        </is>
      </c>
      <c r="B47" s="24" t="inlineStr">
        <is>
          <t>COM04-03</t>
        </is>
      </c>
      <c r="C47" s="24" t="inlineStr">
        <is>
          <t>UC-COM-04</t>
        </is>
      </c>
      <c r="D47" s="24" t="inlineStr">
        <is>
          <t>Logout không gửi refresh</t>
        </is>
      </c>
      <c r="E47" s="24" t="inlineStr">
        <is>
          <t>POST</t>
        </is>
      </c>
      <c r="F47" s="24" t="inlineStr">
        <is>
          <t>{{base_url}}/api/v1/common/auth/logout/</t>
        </is>
      </c>
      <c r="G47" s="24" t="inlineStr">
        <is>
          <t>{{access_token}} – actor theo TEST_DATA</t>
        </is>
      </c>
      <c r="H47" s="24" t="inlineStr">
        <is>
          <t>Các biến {{...}} trong path phải lấy từ response/seed; xem cột chuẩn bị dữ liệu.</t>
        </is>
      </c>
      <c r="I47" s="24" t="inlineStr">
        <is>
          <t>Không có</t>
        </is>
      </c>
      <c r="J47" s="24" t="inlineStr">
        <is>
          <t>Authorization: Bearer {{access_token}}
Accept: application/json
Content-Type: application/json</t>
        </is>
      </c>
      <c r="K47" s="24" t="inlineStr">
        <is>
          <t>{
  "refresh": "{{refresh_token}}"
}</t>
        </is>
      </c>
      <c r="L47"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47" s="24" t="inlineStr">
        <is>
          <t>204</t>
        </is>
      </c>
      <c r="N47" s="24" t="inlineStr">
        <is>
          <t>Session theo sid của access vẫn bị revoke</t>
        </is>
      </c>
      <c r="O47" s="24" t="inlineStr">
        <is>
          <t>pm.test('HTTP thuộc [204]', () =&gt; pm.expect([204]).to.include(pm.response.code));
pm.test('Response không lộ secret', () =&gt; { const t=pm.response.text().toLowerCase(); ['password','refresh_token','access_token','otp_code'].forEach(k =&gt; pm.expect(t).not.to.include(k)); });</t>
        </is>
      </c>
      <c r="P47" s="25" t="inlineStr">
        <is>
          <t>Not Run</t>
        </is>
      </c>
      <c r="Q47" s="25" t="inlineStr"/>
      <c r="R47" s="25" t="inlineStr"/>
      <c r="S47" s="25" t="inlineStr"/>
      <c r="T47" s="25" t="inlineStr"/>
      <c r="U47" s="25" t="inlineStr"/>
      <c r="V47" s="24">
        <f>IF(P47="Not Run","Chưa chạy",IF(R47="","Thiếu Tester",IF(S47="","Thiếu Ngày chạy",IF(Q47="","Thiếu Actual Result",IF(AND(P47="Fail",T47=""),"Thiếu Defect ID",IF(AND(OR(P47="Fail",P47="Blocked"),U47=""),"Thiếu Evidence","Hợp lệ"))))))</f>
        <v/>
      </c>
    </row>
    <row r="48" ht="125" customHeight="1">
      <c r="A48" s="24" t="inlineStr">
        <is>
          <t>COM04-04</t>
        </is>
      </c>
      <c r="B48" s="24" t="inlineStr">
        <is>
          <t>COM04-04</t>
        </is>
      </c>
      <c r="C48" s="24" t="inlineStr">
        <is>
          <t>UC-COM-04</t>
        </is>
      </c>
      <c r="D48" s="24" t="inlineStr">
        <is>
          <t>Gửi refresh của session khác cùng user</t>
        </is>
      </c>
      <c r="E48" s="24" t="inlineStr">
        <is>
          <t>POST</t>
        </is>
      </c>
      <c r="F48" s="24" t="inlineStr">
        <is>
          <t>{{base_url}}/api/v1/common/auth/logout/</t>
        </is>
      </c>
      <c r="G48" s="24" t="inlineStr">
        <is>
          <t>{{access_token}} – actor theo TEST_DATA</t>
        </is>
      </c>
      <c r="H48" s="24" t="inlineStr">
        <is>
          <t>Các biến {{...}} trong path phải lấy từ response/seed; xem cột chuẩn bị dữ liệu.</t>
        </is>
      </c>
      <c r="I48" s="24" t="inlineStr">
        <is>
          <t>Không có</t>
        </is>
      </c>
      <c r="J48" s="24" t="inlineStr">
        <is>
          <t>Authorization: Bearer {{access_token}}
Accept: application/json
Content-Type: application/json</t>
        </is>
      </c>
      <c r="K48" s="24" t="inlineStr">
        <is>
          <t>{
  "refresh": "{{refresh_token}}"
}</t>
        </is>
      </c>
      <c r="L48"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48" s="24" t="inlineStr">
        <is>
          <t>204</t>
        </is>
      </c>
      <c r="N48" s="24" t="inlineStr">
        <is>
          <t>Không blacklist nhầm session khác; chỉ session hiện tại bị thu hồi</t>
        </is>
      </c>
      <c r="O48" s="24" t="inlineStr">
        <is>
          <t>pm.test('HTTP thuộc [204]', () =&gt; pm.expect([204]).to.include(pm.response.code));
pm.test('Response không lộ secret', () =&gt; { const t=pm.response.text().toLowerCase(); ['password','refresh_token','access_token','otp_code'].forEach(k =&gt; pm.expect(t).not.to.include(k)); });</t>
        </is>
      </c>
      <c r="P48" s="25" t="inlineStr">
        <is>
          <t>Not Run</t>
        </is>
      </c>
      <c r="Q48" s="25" t="inlineStr"/>
      <c r="R48" s="25" t="inlineStr"/>
      <c r="S48" s="25" t="inlineStr"/>
      <c r="T48" s="25" t="inlineStr"/>
      <c r="U48" s="25" t="inlineStr"/>
      <c r="V48" s="24">
        <f>IF(P48="Not Run","Chưa chạy",IF(R48="","Thiếu Tester",IF(S48="","Thiếu Ngày chạy",IF(Q48="","Thiếu Actual Result",IF(AND(P48="Fail",T48=""),"Thiếu Defect ID",IF(AND(OR(P48="Fail",P48="Blocked"),U48=""),"Thiếu Evidence","Hợp lệ"))))))</f>
        <v/>
      </c>
    </row>
    <row r="49" ht="125" customHeight="1">
      <c r="A49" s="24" t="inlineStr">
        <is>
          <t>COM04-05</t>
        </is>
      </c>
      <c r="B49" s="24" t="inlineStr">
        <is>
          <t>COM04-05</t>
        </is>
      </c>
      <c r="C49" s="24" t="inlineStr">
        <is>
          <t>UC-COM-04</t>
        </is>
      </c>
      <c r="D49" s="24" t="inlineStr">
        <is>
          <t>Refresh sai định dạng/đã blacklist trong body</t>
        </is>
      </c>
      <c r="E49" s="24" t="inlineStr">
        <is>
          <t>POST</t>
        </is>
      </c>
      <c r="F49" s="24" t="inlineStr">
        <is>
          <t>{{base_url}}/api/v1/common/auth/logout/</t>
        </is>
      </c>
      <c r="G49" s="24" t="inlineStr">
        <is>
          <t>{{access_token}} – actor theo TEST_DATA</t>
        </is>
      </c>
      <c r="H49" s="24" t="inlineStr">
        <is>
          <t>Các biến {{...}} trong path phải lấy từ response/seed; xem cột chuẩn bị dữ liệu.</t>
        </is>
      </c>
      <c r="I49" s="24" t="inlineStr">
        <is>
          <t>Không có</t>
        </is>
      </c>
      <c r="J49" s="24" t="inlineStr">
        <is>
          <t>Authorization: Bearer {{access_token}}
Accept: application/json
Content-Type: application/json</t>
        </is>
      </c>
      <c r="K49" s="24" t="inlineStr">
        <is>
          <t>{
  "refresh": "{{refresh_token}}"
}</t>
        </is>
      </c>
      <c r="L49"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49" s="24" t="inlineStr">
        <is>
          <t>204</t>
        </is>
      </c>
      <c r="N49" s="24" t="inlineStr">
        <is>
          <t>Logout vẫn an toàn và idempotent, không phát sinh lỗi 5xx</t>
        </is>
      </c>
      <c r="O49" s="24" t="inlineStr">
        <is>
          <t>pm.test('HTTP thuộc [204]', () =&gt; pm.expect([204]).to.include(pm.response.code));
pm.test('Response không lộ secret', () =&gt; { const t=pm.response.text().toLowerCase(); ['password','refresh_token','access_token','otp_code'].forEach(k =&gt; pm.expect(t).not.to.include(k)); });</t>
        </is>
      </c>
      <c r="P49" s="25" t="inlineStr">
        <is>
          <t>Not Run</t>
        </is>
      </c>
      <c r="Q49" s="25" t="inlineStr"/>
      <c r="R49" s="25" t="inlineStr"/>
      <c r="S49" s="25" t="inlineStr"/>
      <c r="T49" s="25" t="inlineStr"/>
      <c r="U49" s="25" t="inlineStr"/>
      <c r="V49" s="24">
        <f>IF(P49="Not Run","Chưa chạy",IF(R49="","Thiếu Tester",IF(S49="","Thiếu Ngày chạy",IF(Q49="","Thiếu Actual Result",IF(AND(P49="Fail",T49=""),"Thiếu Defect ID",IF(AND(OR(P49="Fail",P49="Blocked"),U49=""),"Thiếu Evidence","Hợp lệ"))))))</f>
        <v/>
      </c>
    </row>
    <row r="50" ht="125" customHeight="1">
      <c r="A50" s="24" t="inlineStr">
        <is>
          <t>COM04-06</t>
        </is>
      </c>
      <c r="B50" s="24" t="inlineStr">
        <is>
          <t>COM04-06</t>
        </is>
      </c>
      <c r="C50" s="24" t="inlineStr">
        <is>
          <t>UC-COM-04</t>
        </is>
      </c>
      <c r="D50" s="24" t="inlineStr">
        <is>
          <t>Không có access token hoặc access đã hết hạn</t>
        </is>
      </c>
      <c r="E50" s="24" t="inlineStr">
        <is>
          <t>POST</t>
        </is>
      </c>
      <c r="F50" s="24" t="inlineStr">
        <is>
          <t>{{base_url}}/api/v1/common/auth/logout/</t>
        </is>
      </c>
      <c r="G50" s="24" t="inlineStr">
        <is>
          <t>{{access_token}} – actor theo TEST_DATA</t>
        </is>
      </c>
      <c r="H50" s="24" t="inlineStr">
        <is>
          <t>Các biến {{...}} trong path phải lấy từ response/seed; xem cột chuẩn bị dữ liệu.</t>
        </is>
      </c>
      <c r="I50" s="24" t="inlineStr">
        <is>
          <t>Không có</t>
        </is>
      </c>
      <c r="J50" s="24" t="inlineStr">
        <is>
          <t>Authorization: Bearer {{access_token}}
Accept: application/json
Content-Type: application/json</t>
        </is>
      </c>
      <c r="K50" s="24" t="inlineStr">
        <is>
          <t>{
  "refresh": "{{refresh_token}}"
}</t>
        </is>
      </c>
      <c r="L50"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50" s="24" t="inlineStr">
        <is>
          <t>401</t>
        </is>
      </c>
      <c r="N50" s="24" t="inlineStr">
        <is>
          <t>401; không tác động session của user khác</t>
        </is>
      </c>
      <c r="O50" s="24" t="inlineStr">
        <is>
          <t>pm.test('HTTP thuộc [401]', () =&gt; pm.expect([401]).to.include(pm.response.code));
pm.test('Response không lộ secret', () =&gt; { const t=pm.response.text().toLowerCase(); ['password','refresh_token','access_token','otp_code'].forEach(k =&gt; pm.expect(t).not.to.include(k)); });</t>
        </is>
      </c>
      <c r="P50" s="25" t="inlineStr">
        <is>
          <t>Not Run</t>
        </is>
      </c>
      <c r="Q50" s="25" t="inlineStr"/>
      <c r="R50" s="25" t="inlineStr"/>
      <c r="S50" s="25" t="inlineStr"/>
      <c r="T50" s="25" t="inlineStr"/>
      <c r="U50" s="25" t="inlineStr"/>
      <c r="V50" s="24">
        <f>IF(P50="Not Run","Chưa chạy",IF(R50="","Thiếu Tester",IF(S50="","Thiếu Ngày chạy",IF(Q50="","Thiếu Actual Result",IF(AND(P50="Fail",T50=""),"Thiếu Defect ID",IF(AND(OR(P50="Fail",P50="Blocked"),U50=""),"Thiếu Evidence","Hợp lệ"))))))</f>
        <v/>
      </c>
    </row>
    <row r="51" ht="125" customHeight="1">
      <c r="A51" s="24" t="inlineStr">
        <is>
          <t>COM04-07</t>
        </is>
      </c>
      <c r="B51" s="24" t="inlineStr">
        <is>
          <t>COM04-07</t>
        </is>
      </c>
      <c r="C51" s="24" t="inlineStr">
        <is>
          <t>UC-COM-04</t>
        </is>
      </c>
      <c r="D51" s="24" t="inlineStr">
        <is>
          <t>Gọi logout lặp lại</t>
        </is>
      </c>
      <c r="E51" s="24" t="inlineStr">
        <is>
          <t>POST</t>
        </is>
      </c>
      <c r="F51" s="24" t="inlineStr">
        <is>
          <t>{{base_url}}/api/v1/common/auth/logout/</t>
        </is>
      </c>
      <c r="G51" s="24" t="inlineStr">
        <is>
          <t>{{access_token}} – actor theo TEST_DATA</t>
        </is>
      </c>
      <c r="H51" s="24" t="inlineStr">
        <is>
          <t>Các biến {{...}} trong path phải lấy từ response/seed; xem cột chuẩn bị dữ liệu.</t>
        </is>
      </c>
      <c r="I51" s="24" t="inlineStr">
        <is>
          <t>Không có</t>
        </is>
      </c>
      <c r="J51" s="24" t="inlineStr">
        <is>
          <t>Authorization: Bearer {{access_token}}
Accept: application/json
Content-Type: application/json</t>
        </is>
      </c>
      <c r="K51" s="24" t="inlineStr">
        <is>
          <t>{
  "refresh": "{{refresh_token}}"
}</t>
        </is>
      </c>
      <c r="L51"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51" s="24" t="inlineStr">
        <is>
          <t>204</t>
        </is>
      </c>
      <c r="N51" s="24" t="inlineStr">
        <is>
          <t>Không tạo side effect nguy hiểm; token tiếp tục không dùng được</t>
        </is>
      </c>
      <c r="O51" s="24" t="inlineStr">
        <is>
          <t>pm.test('HTTP thuộc [204]', () =&gt; pm.expect([204]).to.include(pm.response.code));
pm.test('Response không lộ secret', () =&gt; { const t=pm.response.text().toLowerCase(); ['password','refresh_token','access_token','otp_code'].forEach(k =&gt; pm.expect(t).not.to.include(k)); });</t>
        </is>
      </c>
      <c r="P51" s="25" t="inlineStr">
        <is>
          <t>Not Run</t>
        </is>
      </c>
      <c r="Q51" s="25" t="inlineStr"/>
      <c r="R51" s="25" t="inlineStr"/>
      <c r="S51" s="25" t="inlineStr"/>
      <c r="T51" s="25" t="inlineStr"/>
      <c r="U51" s="25" t="inlineStr"/>
      <c r="V51" s="24">
        <f>IF(P51="Not Run","Chưa chạy",IF(R51="","Thiếu Tester",IF(S51="","Thiếu Ngày chạy",IF(Q51="","Thiếu Actual Result",IF(AND(P51="Fail",T51=""),"Thiếu Defect ID",IF(AND(OR(P51="Fail",P51="Blocked"),U51=""),"Thiếu Evidence","Hợp lệ"))))))</f>
        <v/>
      </c>
    </row>
    <row r="52" ht="125" customHeight="1">
      <c r="A52" s="24" t="inlineStr">
        <is>
          <t>COM05-01</t>
        </is>
      </c>
      <c r="B52" s="24" t="inlineStr">
        <is>
          <t>COM05-01</t>
        </is>
      </c>
      <c r="C52" s="24" t="inlineStr">
        <is>
          <t>UC-COM-05</t>
        </is>
      </c>
      <c r="D52" s="24" t="inlineStr">
        <is>
          <t>Yêu cầu reset bằng email/username của tài khoản active đã verify</t>
        </is>
      </c>
      <c r="E52" s="24" t="inlineStr">
        <is>
          <t>POST</t>
        </is>
      </c>
      <c r="F52" s="24" t="inlineStr">
        <is>
          <t>{{base_url}}/api/v1/common/auth/forgot-password/</t>
        </is>
      </c>
      <c r="G52" s="24" t="inlineStr">
        <is>
          <t>Không cần token (public endpoint)</t>
        </is>
      </c>
      <c r="H52" s="24" t="inlineStr">
        <is>
          <t>Các biến {{...}} trong path phải lấy từ response/seed; xem cột chuẩn bị dữ liệu.</t>
        </is>
      </c>
      <c r="I52" s="24" t="inlineStr">
        <is>
          <t>Không có</t>
        </is>
      </c>
      <c r="J52" s="24" t="inlineStr">
        <is>
          <t>Accept: application/json
Content-Type: application/json</t>
        </is>
      </c>
      <c r="K52" s="24" t="inlineStr">
        <is>
          <t>{
  "identifier": "{{login}}"
}</t>
        </is>
      </c>
      <c r="L52" s="24" t="inlineStr">
        <is>
          <t>1. Lấy challenge từ response trước đó và OTP từ email sandbox; không ghi OTP vào defect/evidence.
2. Điền UUID từ dữ liệu seed/staging; không tự đặt UUID giả nếu case yêu cầu object tồn tại.
3. Đối chiếu actor, membership, Permission và Data Scope trong sheet TEST_DATA.</t>
        </is>
      </c>
      <c r="M52" s="24" t="inlineStr">
        <is>
          <t>202</t>
        </is>
      </c>
      <c r="N52" s="24" t="inlineStr">
        <is>
          <t>Luôn 202; tạo challenge PASSWORD_RESET và gửi OTP tới email đã verify</t>
        </is>
      </c>
      <c r="O52" s="24" t="inlineStr">
        <is>
          <t>pm.test('HTTP thuộc [202]', () =&gt; pm.expect([202]).to.include(pm.response.code));
pm.test('Response không lộ secret', () =&gt; { const t=pm.response.text().toLowerCase(); ['password','refresh_token','access_token','otp_code'].forEach(k =&gt; pm.expect(t).not.to.include(k)); });</t>
        </is>
      </c>
      <c r="P52" s="25" t="inlineStr">
        <is>
          <t>Not Run</t>
        </is>
      </c>
      <c r="Q52" s="25" t="inlineStr"/>
      <c r="R52" s="25" t="inlineStr"/>
      <c r="S52" s="25" t="inlineStr"/>
      <c r="T52" s="25" t="inlineStr"/>
      <c r="U52" s="25" t="inlineStr"/>
      <c r="V52" s="24">
        <f>IF(P52="Not Run","Chưa chạy",IF(R52="","Thiếu Tester",IF(S52="","Thiếu Ngày chạy",IF(Q52="","Thiếu Actual Result",IF(AND(P52="Fail",T52=""),"Thiếu Defect ID",IF(AND(OR(P52="Fail",P52="Blocked"),U52=""),"Thiếu Evidence","Hợp lệ"))))))</f>
        <v/>
      </c>
    </row>
    <row r="53" ht="125" customHeight="1">
      <c r="A53" s="24" t="inlineStr">
        <is>
          <t>COM05-02</t>
        </is>
      </c>
      <c r="B53" s="24" t="inlineStr">
        <is>
          <t>COM05-02</t>
        </is>
      </c>
      <c r="C53" s="24" t="inlineStr">
        <is>
          <t>UC-COM-05</t>
        </is>
      </c>
      <c r="D53" s="24" t="inlineStr">
        <is>
          <t>Identifier không tồn tại, inactive hoặc chưa verify</t>
        </is>
      </c>
      <c r="E53" s="24" t="inlineStr">
        <is>
          <t>POST</t>
        </is>
      </c>
      <c r="F53" s="24" t="inlineStr">
        <is>
          <t>{{base_url}}/api/v1/common/auth/forgot-password/</t>
        </is>
      </c>
      <c r="G53" s="24" t="inlineStr">
        <is>
          <t>Không cần token (public endpoint)</t>
        </is>
      </c>
      <c r="H53" s="24" t="inlineStr">
        <is>
          <t>Các biến {{...}} trong path phải lấy từ response/seed; xem cột chuẩn bị dữ liệu.</t>
        </is>
      </c>
      <c r="I53" s="24" t="inlineStr">
        <is>
          <t>Không có</t>
        </is>
      </c>
      <c r="J53" s="24" t="inlineStr">
        <is>
          <t>Accept: application/json
Content-Type: application/json</t>
        </is>
      </c>
      <c r="K53" s="24" t="inlineStr">
        <is>
          <t>{
  "identifier": "{{login}}"
}</t>
        </is>
      </c>
      <c r="L53" s="24" t="inlineStr">
        <is>
          <t>1. Lấy challenge từ response trước đó và OTP từ email sandbox; không ghi OTP vào defect/evidence.
2. Điền UUID từ dữ liệu seed/staging; không tự đặt UUID giả nếu case yêu cầu object tồn tại.
3. Đối chiếu actor, membership, Permission và Data Scope trong sheet TEST_DATA.</t>
        </is>
      </c>
      <c r="M53" s="24" t="inlineStr">
        <is>
          <t>200</t>
        </is>
      </c>
      <c r="N53" s="24" t="inlineStr">
        <is>
          <t>Cùng status/response shape/thời gian gần tương đương; không gửi email; không lộ account existence</t>
        </is>
      </c>
      <c r="O53" s="24" t="inlineStr">
        <is>
          <t>pm.test('HTTP thuộc [200]', () =&gt; pm.expect([200]).to.include(pm.response.code));
pm.test('Response không lộ secret', () =&gt; { const t=pm.response.text().toLowerCase(); ['password','refresh_token','access_token','otp_code'].forEach(k =&gt; pm.expect(t).not.to.include(k)); });</t>
        </is>
      </c>
      <c r="P53" s="25" t="inlineStr">
        <is>
          <t>Not Run</t>
        </is>
      </c>
      <c r="Q53" s="25" t="inlineStr"/>
      <c r="R53" s="25" t="inlineStr"/>
      <c r="S53" s="25" t="inlineStr"/>
      <c r="T53" s="25" t="inlineStr"/>
      <c r="U53" s="25" t="inlineStr"/>
      <c r="V53" s="24">
        <f>IF(P53="Not Run","Chưa chạy",IF(R53="","Thiếu Tester",IF(S53="","Thiếu Ngày chạy",IF(Q53="","Thiếu Actual Result",IF(AND(P53="Fail",T53=""),"Thiếu Defect ID",IF(AND(OR(P53="Fail",P53="Blocked"),U53=""),"Thiếu Evidence","Hợp lệ"))))))</f>
        <v/>
      </c>
    </row>
    <row r="54" ht="125" customHeight="1">
      <c r="A54" s="24" t="inlineStr">
        <is>
          <t>COM05-03</t>
        </is>
      </c>
      <c r="B54" s="24" t="inlineStr">
        <is>
          <t>COM05-03</t>
        </is>
      </c>
      <c r="C54" s="24" t="inlineStr">
        <is>
          <t>UC-COM-05</t>
        </is>
      </c>
      <c r="D54" s="24" t="inlineStr">
        <is>
          <t>Yêu cầu lại trong cooldown</t>
        </is>
      </c>
      <c r="E54" s="24" t="inlineStr">
        <is>
          <t>POST</t>
        </is>
      </c>
      <c r="F54" s="24" t="inlineStr">
        <is>
          <t>{{base_url}}/api/v1/common/auth/forgot-password/</t>
        </is>
      </c>
      <c r="G54" s="24" t="inlineStr">
        <is>
          <t>Không cần token (public endpoint)</t>
        </is>
      </c>
      <c r="H54" s="24" t="inlineStr">
        <is>
          <t>Các biến {{...}} trong path phải lấy từ response/seed; xem cột chuẩn bị dữ liệu.</t>
        </is>
      </c>
      <c r="I54" s="24" t="inlineStr">
        <is>
          <t>Không có</t>
        </is>
      </c>
      <c r="J54" s="24" t="inlineStr">
        <is>
          <t>Accept: application/json
Content-Type: application/json</t>
        </is>
      </c>
      <c r="K54" s="24" t="inlineStr">
        <is>
          <t>{
  "identifier": "{{login}}"
}</t>
        </is>
      </c>
      <c r="L54" s="24" t="inlineStr">
        <is>
          <t>1. Lấy challenge từ response trước đó và OTP từ email sandbox; không ghi OTP vào defect/evidence.
2. Điền UUID từ dữ liệu seed/staging; không tự đặt UUID giả nếu case yêu cầu object tồn tại.
3. Đối chiếu actor, membership, Permission và Data Scope trong sheet TEST_DATA.</t>
        </is>
      </c>
      <c r="M54" s="24" t="inlineStr">
        <is>
          <t>200</t>
        </is>
      </c>
      <c r="N54" s="24" t="inlineStr">
        <is>
          <t>Bị hạn chế theo quy tắc; không tạo nhiều OTP còn hiệu lực</t>
        </is>
      </c>
      <c r="O54" s="24" t="inlineStr">
        <is>
          <t>pm.test('HTTP thuộc [200]', () =&gt; pm.expect([200]).to.include(pm.response.code));
pm.test('Response không lộ secret', () =&gt; { const t=pm.response.text().toLowerCase(); ['password','refresh_token','access_token','otp_code'].forEach(k =&gt; pm.expect(t).not.to.include(k)); });</t>
        </is>
      </c>
      <c r="P54" s="25" t="inlineStr">
        <is>
          <t>Not Run</t>
        </is>
      </c>
      <c r="Q54" s="25" t="inlineStr"/>
      <c r="R54" s="25" t="inlineStr"/>
      <c r="S54" s="25" t="inlineStr"/>
      <c r="T54" s="25" t="inlineStr"/>
      <c r="U54" s="25" t="inlineStr"/>
      <c r="V54" s="24">
        <f>IF(P54="Not Run","Chưa chạy",IF(R54="","Thiếu Tester",IF(S54="","Thiếu Ngày chạy",IF(Q54="","Thiếu Actual Result",IF(AND(P54="Fail",T54=""),"Thiếu Defect ID",IF(AND(OR(P54="Fail",P54="Blocked"),U54=""),"Thiếu Evidence","Hợp lệ"))))))</f>
        <v/>
      </c>
    </row>
    <row r="55" ht="125" customHeight="1">
      <c r="A55" s="24" t="inlineStr">
        <is>
          <t>COM05-04</t>
        </is>
      </c>
      <c r="B55" s="24" t="inlineStr">
        <is>
          <t>COM05-04</t>
        </is>
      </c>
      <c r="C55" s="24" t="inlineStr">
        <is>
          <t>UC-COM-05</t>
        </is>
      </c>
      <c r="D55" s="24" t="inlineStr">
        <is>
          <t>Reset với OTP đúng và mật khẩu mạnh</t>
        </is>
      </c>
      <c r="E55" s="24" t="inlineStr">
        <is>
          <t>POST</t>
        </is>
      </c>
      <c r="F55" s="24" t="inlineStr">
        <is>
          <t>{{base_url}}/api/v1/common/auth/reset-password/</t>
        </is>
      </c>
      <c r="G55" s="24" t="inlineStr">
        <is>
          <t>Không cần token (public endpoint)</t>
        </is>
      </c>
      <c r="H55" s="24" t="inlineStr">
        <is>
          <t>Các biến {{...}} trong path phải lấy từ response/seed; xem cột chuẩn bị dữ liệu.</t>
        </is>
      </c>
      <c r="I55" s="24" t="inlineStr">
        <is>
          <t>Không có</t>
        </is>
      </c>
      <c r="J55" s="24" t="inlineStr">
        <is>
          <t>Accept: application/json
Content-Type: application/json</t>
        </is>
      </c>
      <c r="K55" s="24" t="inlineStr">
        <is>
          <t>{
  "challenge": "{{password_reset_challenge}}",
  "code": "{{otp_code}}",
  "new_password": "{{new_password}}",
  "new_password_confirm": "{{new_password_confirm}}"
}</t>
        </is>
      </c>
      <c r="L55" s="24" t="inlineStr">
        <is>
          <t>1. Lấy challenge từ response trước đó và OTP từ email sandbox; không ghi OTP vào defect/evidence.
2. Điền UUID từ dữ liệu seed/staging; không tự đặt UUID giả nếu case yêu cầu object tồn tại.
3. Đối chiếu actor, membership, Permission và Data Scope trong sheet TEST_DATA.</t>
        </is>
      </c>
      <c r="M55" s="24" t="inlineStr">
        <is>
          <t>200</t>
        </is>
      </c>
      <c r="N55" s="24" t="inlineStr">
        <is>
          <t>200; đổi password; challenge consumed; reset failed-login/lock state</t>
        </is>
      </c>
      <c r="O55" s="24" t="inlineStr">
        <is>
          <t>pm.test('HTTP thuộc [200]', () =&gt; pm.expect([200]).to.include(pm.response.code));
pm.test('Response không lộ secret', () =&gt; { const t=pm.response.text().toLowerCase(); ['password','refresh_token','access_token','otp_code'].forEach(k =&gt; pm.expect(t).not.to.include(k)); });</t>
        </is>
      </c>
      <c r="P55" s="25" t="inlineStr">
        <is>
          <t>Not Run</t>
        </is>
      </c>
      <c r="Q55" s="25" t="inlineStr"/>
      <c r="R55" s="25" t="inlineStr"/>
      <c r="S55" s="25" t="inlineStr"/>
      <c r="T55" s="25" t="inlineStr"/>
      <c r="U55" s="25" t="inlineStr"/>
      <c r="V55" s="24">
        <f>IF(P55="Not Run","Chưa chạy",IF(R55="","Thiếu Tester",IF(S55="","Thiếu Ngày chạy",IF(Q55="","Thiếu Actual Result",IF(AND(P55="Fail",T55=""),"Thiếu Defect ID",IF(AND(OR(P55="Fail",P55="Blocked"),U55=""),"Thiếu Evidence","Hợp lệ"))))))</f>
        <v/>
      </c>
    </row>
    <row r="56" ht="125" customHeight="1">
      <c r="A56" s="24" t="inlineStr">
        <is>
          <t>COM05-05</t>
        </is>
      </c>
      <c r="B56" s="24" t="inlineStr">
        <is>
          <t>COM05-05</t>
        </is>
      </c>
      <c r="C56" s="24" t="inlineStr">
        <is>
          <t>UC-COM-05</t>
        </is>
      </c>
      <c r="D56" s="24" t="inlineStr">
        <is>
          <t>OTP sai/hết hạn/đã dùng/sai purpose</t>
        </is>
      </c>
      <c r="E56" s="24" t="inlineStr">
        <is>
          <t>POST</t>
        </is>
      </c>
      <c r="F56" s="24" t="inlineStr">
        <is>
          <t>{{base_url}}/api/v1/common/auth/reset-password/</t>
        </is>
      </c>
      <c r="G56" s="24" t="inlineStr">
        <is>
          <t>Không cần token (public endpoint)</t>
        </is>
      </c>
      <c r="H56" s="24" t="inlineStr">
        <is>
          <t>Các biến {{...}} trong path phải lấy từ response/seed; xem cột chuẩn bị dữ liệu.</t>
        </is>
      </c>
      <c r="I56" s="24" t="inlineStr">
        <is>
          <t>Không có</t>
        </is>
      </c>
      <c r="J56" s="24" t="inlineStr">
        <is>
          <t>Accept: application/json
Content-Type: application/json</t>
        </is>
      </c>
      <c r="K56" s="24" t="inlineStr">
        <is>
          <t>{
  "challenge": "{{password_reset_challenge}}",
  "code": "{{otp_code}}",
  "new_password": "{{new_password}}",
  "new_password_confirm": "{{new_password_confirm}}"
}</t>
        </is>
      </c>
      <c r="L56" s="24" t="inlineStr">
        <is>
          <t>1. Lấy challenge từ response trước đó và OTP từ email sandbox; không ghi OTP vào defect/evidence.
2. Điền UUID từ dữ liệu seed/staging; không tự đặt UUID giả nếu case yêu cầu object tồn tại.
3. Đối chiếu actor, membership, Permission và Data Scope trong sheet TEST_DATA.</t>
        </is>
      </c>
      <c r="M56" s="24" t="inlineStr">
        <is>
          <t>400</t>
        </is>
      </c>
      <c r="N56" s="24" t="inlineStr">
        <is>
          <t>400; mật khẩu không đổi; tối đa 5 lần sai</t>
        </is>
      </c>
      <c r="O56" s="24" t="inlineStr">
        <is>
          <t>pm.test('HTTP thuộc [400]', () =&gt; pm.expect([400]).to.include(pm.response.code));
pm.test('Response không lộ secret', () =&gt; { const t=pm.response.text().toLowerCase(); ['password','refresh_token','access_token','otp_code'].forEach(k =&gt; pm.expect(t).not.to.include(k)); });</t>
        </is>
      </c>
      <c r="P56" s="25" t="inlineStr">
        <is>
          <t>Not Run</t>
        </is>
      </c>
      <c r="Q56" s="25" t="inlineStr"/>
      <c r="R56" s="25" t="inlineStr"/>
      <c r="S56" s="25" t="inlineStr"/>
      <c r="T56" s="25" t="inlineStr"/>
      <c r="U56" s="25" t="inlineStr"/>
      <c r="V56" s="24">
        <f>IF(P56="Not Run","Chưa chạy",IF(R56="","Thiếu Tester",IF(S56="","Thiếu Ngày chạy",IF(Q56="","Thiếu Actual Result",IF(AND(P56="Fail",T56=""),"Thiếu Defect ID",IF(AND(OR(P56="Fail",P56="Blocked"),U56=""),"Thiếu Evidence","Hợp lệ"))))))</f>
        <v/>
      </c>
    </row>
    <row r="57" ht="125" customHeight="1">
      <c r="A57" s="24" t="inlineStr">
        <is>
          <t>COM05-06</t>
        </is>
      </c>
      <c r="B57" s="24" t="inlineStr">
        <is>
          <t>COM05-06</t>
        </is>
      </c>
      <c r="C57" s="24" t="inlineStr">
        <is>
          <t>UC-COM-05</t>
        </is>
      </c>
      <c r="D57" s="24" t="inlineStr">
        <is>
          <t>Mật khẩu mới yếu, trùng mật khẩu hiện tại hoặc confirm không khớp</t>
        </is>
      </c>
      <c r="E57" s="24" t="inlineStr">
        <is>
          <t>POST</t>
        </is>
      </c>
      <c r="F57" s="24" t="inlineStr">
        <is>
          <t>{{base_url}}/api/v1/common/auth/reset-password/</t>
        </is>
      </c>
      <c r="G57" s="24" t="inlineStr">
        <is>
          <t>Không cần token (public endpoint)</t>
        </is>
      </c>
      <c r="H57" s="24" t="inlineStr">
        <is>
          <t>Các biến {{...}} trong path phải lấy từ response/seed; xem cột chuẩn bị dữ liệu.</t>
        </is>
      </c>
      <c r="I57" s="24" t="inlineStr">
        <is>
          <t>Không có</t>
        </is>
      </c>
      <c r="J57" s="24" t="inlineStr">
        <is>
          <t>Accept: application/json
Content-Type: application/json</t>
        </is>
      </c>
      <c r="K57" s="24" t="inlineStr">
        <is>
          <t>{
  "challenge": "{{password_reset_challenge}}",
  "code": "{{otp_code}}",
  "new_password": "{{new_password}}",
  "new_password_confirm": "{{new_password_confirm}}"
}</t>
        </is>
      </c>
      <c r="L57" s="24" t="inlineStr">
        <is>
          <t>1. Lấy challenge từ response trước đó và OTP từ email sandbox; không ghi OTP vào defect/evidence.
2. Điền UUID từ dữ liệu seed/staging; không tự đặt UUID giả nếu case yêu cầu object tồn tại.
3. Đối chiếu actor, membership, Permission và Data Scope trong sheet TEST_DATA.</t>
        </is>
      </c>
      <c r="M57" s="24" t="inlineStr">
        <is>
          <t>400</t>
        </is>
      </c>
      <c r="N57" s="24" t="inlineStr">
        <is>
          <t>400; challenge/password/session không bị thay đổi sai</t>
        </is>
      </c>
      <c r="O57" s="24" t="inlineStr">
        <is>
          <t>pm.test('HTTP thuộc [400]', () =&gt; pm.expect([400]).to.include(pm.response.code));
pm.test('Response không lộ secret', () =&gt; { const t=pm.response.text().toLowerCase(); ['password','refresh_token','access_token','otp_code'].forEach(k =&gt; pm.expect(t).not.to.include(k)); });</t>
        </is>
      </c>
      <c r="P57" s="25" t="inlineStr">
        <is>
          <t>Not Run</t>
        </is>
      </c>
      <c r="Q57" s="25" t="inlineStr"/>
      <c r="R57" s="25" t="inlineStr"/>
      <c r="S57" s="25" t="inlineStr"/>
      <c r="T57" s="25" t="inlineStr"/>
      <c r="U57" s="25" t="inlineStr"/>
      <c r="V57" s="24">
        <f>IF(P57="Not Run","Chưa chạy",IF(R57="","Thiếu Tester",IF(S57="","Thiếu Ngày chạy",IF(Q57="","Thiếu Actual Result",IF(AND(P57="Fail",T57=""),"Thiếu Defect ID",IF(AND(OR(P57="Fail",P57="Blocked"),U57=""),"Thiếu Evidence","Hợp lệ"))))))</f>
        <v/>
      </c>
    </row>
    <row r="58" ht="125" customHeight="1">
      <c r="A58" s="24" t="inlineStr">
        <is>
          <t>COM05-07</t>
        </is>
      </c>
      <c r="B58" s="24" t="inlineStr">
        <is>
          <t>COM05-07</t>
        </is>
      </c>
      <c r="C58" s="24" t="inlineStr">
        <is>
          <t>UC-COM-05</t>
        </is>
      </c>
      <c r="D58" s="24" t="inlineStr">
        <is>
          <t>Sau reset, kiểm tra mọi access/refresh cũ trên S1/S2</t>
        </is>
      </c>
      <c r="E58" s="24" t="inlineStr">
        <is>
          <t>POST</t>
        </is>
      </c>
      <c r="F58" s="24" t="inlineStr">
        <is>
          <t>{{base_url}}/api/v1/common/auth/reset-password/</t>
        </is>
      </c>
      <c r="G58" s="24" t="inlineStr">
        <is>
          <t>Không cần token (public endpoint)</t>
        </is>
      </c>
      <c r="H58" s="24" t="inlineStr">
        <is>
          <t>Các biến {{...}} trong path phải lấy từ response/seed; xem cột chuẩn bị dữ liệu.</t>
        </is>
      </c>
      <c r="I58" s="24" t="inlineStr">
        <is>
          <t>Không có</t>
        </is>
      </c>
      <c r="J58" s="24" t="inlineStr">
        <is>
          <t>Accept: application/json
Content-Type: application/json</t>
        </is>
      </c>
      <c r="K58" s="24" t="inlineStr">
        <is>
          <t>{
  "challenge": "{{password_reset_challenge}}",
  "code": "{{otp_code}}",
  "new_password": "{{new_password}}",
  "new_password_confirm": "{{new_password_confirm}}"
}</t>
        </is>
      </c>
      <c r="L58" s="24" t="inlineStr">
        <is>
          <t>1. Lấy challenge từ response trước đó và OTP từ email sandbox; không ghi OTP vào defect/evidence.
2. Điền UUID từ dữ liệu seed/staging; không tự đặt UUID giả nếu case yêu cầu object tồn tại.
3. Đối chiếu actor, membership, Permission và Data Scope trong sheet TEST_DATA.</t>
        </is>
      </c>
      <c r="M58" s="24" t="inlineStr">
        <is>
          <t>200</t>
        </is>
      </c>
      <c r="N58" s="24" t="inlineStr">
        <is>
          <t>Tất cả session/token cũ bị revoke; mật khẩu cũ đăng nhập thất bại</t>
        </is>
      </c>
      <c r="O58" s="24" t="inlineStr">
        <is>
          <t>pm.test('HTTP thuộc [200]', () =&gt; pm.expect([200]).to.include(pm.response.code));
pm.test('Response không lộ secret', () =&gt; { const t=pm.response.text().toLowerCase(); ['password','refresh_token','access_token','otp_code'].forEach(k =&gt; pm.expect(t).not.to.include(k)); });</t>
        </is>
      </c>
      <c r="P58" s="25" t="inlineStr">
        <is>
          <t>Not Run</t>
        </is>
      </c>
      <c r="Q58" s="25" t="inlineStr"/>
      <c r="R58" s="25" t="inlineStr"/>
      <c r="S58" s="25" t="inlineStr"/>
      <c r="T58" s="25" t="inlineStr"/>
      <c r="U58" s="25" t="inlineStr"/>
      <c r="V58" s="24">
        <f>IF(P58="Not Run","Chưa chạy",IF(R58="","Thiếu Tester",IF(S58="","Thiếu Ngày chạy",IF(Q58="","Thiếu Actual Result",IF(AND(P58="Fail",T58=""),"Thiếu Defect ID",IF(AND(OR(P58="Fail",P58="Blocked"),U58=""),"Thiếu Evidence","Hợp lệ"))))))</f>
        <v/>
      </c>
    </row>
    <row r="59" ht="125" customHeight="1">
      <c r="A59" s="24" t="inlineStr">
        <is>
          <t>COM05-08</t>
        </is>
      </c>
      <c r="B59" s="24" t="inlineStr">
        <is>
          <t>COM05-08</t>
        </is>
      </c>
      <c r="C59" s="24" t="inlineStr">
        <is>
          <t>UC-COM-05</t>
        </is>
      </c>
      <c r="D59" s="24" t="inlineStr">
        <is>
          <t>Đăng nhập bằng mật khẩu mới</t>
        </is>
      </c>
      <c r="E59" s="24" t="inlineStr">
        <is>
          <t>POST</t>
        </is>
      </c>
      <c r="F59" s="24" t="inlineStr">
        <is>
          <t>{{base_url}}/api/v1/common/auth/reset-password/</t>
        </is>
      </c>
      <c r="G59" s="24" t="inlineStr">
        <is>
          <t>Không cần token (public endpoint)</t>
        </is>
      </c>
      <c r="H59" s="24" t="inlineStr">
        <is>
          <t>Các biến {{...}} trong path phải lấy từ response/seed; xem cột chuẩn bị dữ liệu.</t>
        </is>
      </c>
      <c r="I59" s="24" t="inlineStr">
        <is>
          <t>Không có</t>
        </is>
      </c>
      <c r="J59" s="24" t="inlineStr">
        <is>
          <t>Accept: application/json
Content-Type: application/json</t>
        </is>
      </c>
      <c r="K59" s="24" t="inlineStr">
        <is>
          <t>{
  "challenge": "{{password_reset_challenge}}",
  "code": "{{otp_code}}",
  "new_password": "{{new_password}}",
  "new_password_confirm": "{{new_password_confirm}}"
}</t>
        </is>
      </c>
      <c r="L59" s="24" t="inlineStr">
        <is>
          <t>1. Lấy challenge từ response trước đó và OTP từ email sandbox; không ghi OTP vào defect/evidence.
2. Điền UUID từ dữ liệu seed/staging; không tự đặt UUID giả nếu case yêu cầu object tồn tại.
3. Đối chiếu actor, membership, Permission và Data Scope trong sheet TEST_DATA.</t>
        </is>
      </c>
      <c r="M59" s="24" t="inlineStr">
        <is>
          <t>200</t>
        </is>
      </c>
      <c r="N59" s="24" t="inlineStr">
        <is>
          <t>Thành công và tạo session mới</t>
        </is>
      </c>
      <c r="O59" s="24" t="inlineStr">
        <is>
          <t>pm.test('HTTP thuộc [200]', () =&gt; pm.expect([200]).to.include(pm.response.code));
pm.test('Response không lộ secret', () =&gt; { const t=pm.response.text().toLowerCase(); ['password','refresh_token','access_token','otp_code'].forEach(k =&gt; pm.expect(t).not.to.include(k)); });</t>
        </is>
      </c>
      <c r="P59" s="25" t="inlineStr">
        <is>
          <t>Not Run</t>
        </is>
      </c>
      <c r="Q59" s="25" t="inlineStr"/>
      <c r="R59" s="25" t="inlineStr"/>
      <c r="S59" s="25" t="inlineStr"/>
      <c r="T59" s="25" t="inlineStr"/>
      <c r="U59" s="25" t="inlineStr"/>
      <c r="V59" s="24">
        <f>IF(P59="Not Run","Chưa chạy",IF(R59="","Thiếu Tester",IF(S59="","Thiếu Ngày chạy",IF(Q59="","Thiếu Actual Result",IF(AND(P59="Fail",T59=""),"Thiếu Defect ID",IF(AND(OR(P59="Fail",P59="Blocked"),U59=""),"Thiếu Evidence","Hợp lệ"))))))</f>
        <v/>
      </c>
    </row>
    <row r="60" ht="125" customHeight="1">
      <c r="A60" s="24" t="inlineStr">
        <is>
          <t>COM05-09</t>
        </is>
      </c>
      <c r="B60" s="24" t="inlineStr">
        <is>
          <t>COM05-09</t>
        </is>
      </c>
      <c r="C60" s="24" t="inlineStr">
        <is>
          <t>UC-COM-05</t>
        </is>
      </c>
      <c r="D60" s="24" t="inlineStr">
        <is>
          <t>Email thông báo sau reset</t>
        </is>
      </c>
      <c r="E60" s="24" t="inlineStr">
        <is>
          <t>POST</t>
        </is>
      </c>
      <c r="F60" s="24" t="inlineStr">
        <is>
          <t>{{base_url}}/api/v1/common/auth/reset-password/</t>
        </is>
      </c>
      <c r="G60" s="24" t="inlineStr">
        <is>
          <t>Không cần token (public endpoint)</t>
        </is>
      </c>
      <c r="H60" s="24" t="inlineStr">
        <is>
          <t>Các biến {{...}} trong path phải lấy từ response/seed; xem cột chuẩn bị dữ liệu.</t>
        </is>
      </c>
      <c r="I60" s="24" t="inlineStr">
        <is>
          <t>Không có</t>
        </is>
      </c>
      <c r="J60" s="24" t="inlineStr">
        <is>
          <t>Accept: application/json
Content-Type: application/json</t>
        </is>
      </c>
      <c r="K60" s="24" t="inlineStr">
        <is>
          <t>{
  "challenge": "{{password_reset_challenge}}",
  "code": "{{otp_code}}",
  "new_password": "{{new_password}}",
  "new_password_confirm": "{{new_password_confirm}}"
}</t>
        </is>
      </c>
      <c r="L60" s="24" t="inlineStr">
        <is>
          <t>1. Lấy challenge từ response trước đó và OTP từ email sandbox; không ghi OTP vào defect/evidence.
2. Điền UUID từ dữ liệu seed/staging; không tự đặt UUID giả nếu case yêu cầu object tồn tại.
3. Đối chiếu actor, membership, Permission và Data Scope trong sheet TEST_DATA.</t>
        </is>
      </c>
      <c r="M60" s="24" t="inlineStr">
        <is>
          <t>200</t>
        </is>
      </c>
      <c r="N60" s="24" t="inlineStr">
        <is>
          <t>Gửi tới email tài khoản; lỗi gửi mail không rollback đổi password nhưng có security event</t>
        </is>
      </c>
      <c r="O60" s="24" t="inlineStr">
        <is>
          <t>pm.test('HTTP thuộc [200]', () =&gt; pm.expect([200]).to.include(pm.response.code));
pm.test('Response không lộ secret', () =&gt; { const t=pm.response.text().toLowerCase(); ['password','refresh_token','access_token','otp_code'].forEach(k =&gt; pm.expect(t).not.to.include(k)); });</t>
        </is>
      </c>
      <c r="P60" s="25" t="inlineStr">
        <is>
          <t>Not Run</t>
        </is>
      </c>
      <c r="Q60" s="25" t="inlineStr"/>
      <c r="R60" s="25" t="inlineStr"/>
      <c r="S60" s="25" t="inlineStr"/>
      <c r="T60" s="25" t="inlineStr"/>
      <c r="U60" s="25" t="inlineStr"/>
      <c r="V60" s="24">
        <f>IF(P60="Not Run","Chưa chạy",IF(R60="","Thiếu Tester",IF(S60="","Thiếu Ngày chạy",IF(Q60="","Thiếu Actual Result",IF(AND(P60="Fail",T60=""),"Thiếu Defect ID",IF(AND(OR(P60="Fail",P60="Blocked"),U60=""),"Thiếu Evidence","Hợp lệ"))))))</f>
        <v/>
      </c>
    </row>
    <row r="61" ht="125" customHeight="1">
      <c r="A61" s="24" t="inlineStr">
        <is>
          <t>COM05-10</t>
        </is>
      </c>
      <c r="B61" s="24" t="inlineStr">
        <is>
          <t>COM05-10</t>
        </is>
      </c>
      <c r="C61" s="24" t="inlineStr">
        <is>
          <t>UC-COM-05</t>
        </is>
      </c>
      <c r="D61" s="24" t="inlineStr">
        <is>
          <t>Vượt rate limit reset theo identifier/IP</t>
        </is>
      </c>
      <c r="E61" s="24" t="inlineStr">
        <is>
          <t>POST</t>
        </is>
      </c>
      <c r="F61" s="24" t="inlineStr">
        <is>
          <t>{{base_url}}/api/v1/common/auth/forgot-password/</t>
        </is>
      </c>
      <c r="G61" s="24" t="inlineStr">
        <is>
          <t>Không cần token (public endpoint)</t>
        </is>
      </c>
      <c r="H61" s="24" t="inlineStr">
        <is>
          <t>Các biến {{...}} trong path phải lấy từ response/seed; xem cột chuẩn bị dữ liệu.</t>
        </is>
      </c>
      <c r="I61" s="24" t="inlineStr">
        <is>
          <t>Không có</t>
        </is>
      </c>
      <c r="J61" s="24" t="inlineStr">
        <is>
          <t>Accept: application/json
Content-Type: application/json</t>
        </is>
      </c>
      <c r="K61" s="24" t="inlineStr">
        <is>
          <t>{
  "identifier": "{{login}}"
}</t>
        </is>
      </c>
      <c r="L61" s="24" t="inlineStr">
        <is>
          <t>1. Lấy challenge từ response trước đó và OTP từ email sandbox; không ghi OTP vào defect/evidence.
2. Điền UUID từ dữ liệu seed/staging; không tự đặt UUID giả nếu case yêu cầu object tồn tại.
3. Đối chiếu actor, membership, Permission và Data Scope trong sheet TEST_DATA.</t>
        </is>
      </c>
      <c r="M61" s="24" t="inlineStr">
        <is>
          <t>429</t>
        </is>
      </c>
      <c r="N61" s="24" t="inlineStr">
        <is>
          <t>429; không gửi email hàng loạt</t>
        </is>
      </c>
      <c r="O61" s="24" t="inlineStr">
        <is>
          <t>pm.test('HTTP thuộc [429]', () =&gt; pm.expect([429]).to.include(pm.response.code));
pm.test('Response không lộ secret', () =&gt; { const t=pm.response.text().toLowerCase(); ['password','refresh_token','access_token','otp_code'].forEach(k =&gt; pm.expect(t).not.to.include(k)); });</t>
        </is>
      </c>
      <c r="P61" s="25" t="inlineStr">
        <is>
          <t>Not Run</t>
        </is>
      </c>
      <c r="Q61" s="25" t="inlineStr"/>
      <c r="R61" s="25" t="inlineStr"/>
      <c r="S61" s="25" t="inlineStr"/>
      <c r="T61" s="25" t="inlineStr"/>
      <c r="U61" s="25" t="inlineStr"/>
      <c r="V61" s="24">
        <f>IF(P61="Not Run","Chưa chạy",IF(R61="","Thiếu Tester",IF(S61="","Thiếu Ngày chạy",IF(Q61="","Thiếu Actual Result",IF(AND(P61="Fail",T61=""),"Thiếu Defect ID",IF(AND(OR(P61="Fail",P61="Blocked"),U61=""),"Thiếu Evidence","Hợp lệ"))))))</f>
        <v/>
      </c>
    </row>
    <row r="62" ht="125" customHeight="1">
      <c r="A62" s="24" t="inlineStr">
        <is>
          <t>COM05-11A</t>
        </is>
      </c>
      <c r="B62" s="24" t="inlineStr">
        <is>
          <t>COM05-11</t>
        </is>
      </c>
      <c r="C62" s="24" t="inlineStr">
        <is>
          <t>UC-COM-05</t>
        </is>
      </c>
      <c r="D62" s="24" t="inlineStr">
        <is>
          <t>Alias endpoint cũ và mới</t>
        </is>
      </c>
      <c r="E62" s="24" t="inlineStr">
        <is>
          <t>POST</t>
        </is>
      </c>
      <c r="F62" s="24" t="inlineStr">
        <is>
          <t>{{base_url}}/api/v1/common/auth/forgot-password/</t>
        </is>
      </c>
      <c r="G62" s="24" t="inlineStr">
        <is>
          <t>Không cần token (public endpoint)</t>
        </is>
      </c>
      <c r="H62" s="24" t="inlineStr">
        <is>
          <t>Các biến {{...}} trong path phải lấy từ response/seed; xem cột chuẩn bị dữ liệu.</t>
        </is>
      </c>
      <c r="I62" s="24" t="inlineStr">
        <is>
          <t>Không có</t>
        </is>
      </c>
      <c r="J62" s="24" t="inlineStr">
        <is>
          <t>Accept: application/json
Content-Type: application/json</t>
        </is>
      </c>
      <c r="K62" s="24" t="inlineStr">
        <is>
          <t>{
  "identifier": "{{login}}"
}</t>
        </is>
      </c>
      <c r="L62" s="24" t="inlineStr">
        <is>
          <t>1. Lấy challenge từ response trước đó và OTP từ email sandbox; không ghi OTP vào defect/evidence.
2. Điền UUID từ dữ liệu seed/staging; không tự đặt UUID giả nếu case yêu cầu object tồn tại.
3. Đối chiếu actor, membership, Permission và Data Scope trong sheet TEST_DATA.</t>
        </is>
      </c>
      <c r="M62" s="24" t="inlineStr">
        <is>
          <t>200</t>
        </is>
      </c>
      <c r="N62" s="24" t="inlineStr">
        <is>
          <t>Hai cặp route có hành vi/schema tương thích</t>
        </is>
      </c>
      <c r="O62" s="24" t="inlineStr">
        <is>
          <t>pm.test('HTTP thuộc [200]', () =&gt; pm.expect([200]).to.include(pm.response.code));
pm.test('Response không lộ secret', () =&gt; { const t=pm.response.text().toLowerCase(); ['password','refresh_token','access_token','otp_code'].forEach(k =&gt; pm.expect(t).not.to.include(k)); });</t>
        </is>
      </c>
      <c r="P62" s="25" t="inlineStr">
        <is>
          <t>Not Run</t>
        </is>
      </c>
      <c r="Q62" s="25" t="inlineStr"/>
      <c r="R62" s="25" t="inlineStr"/>
      <c r="S62" s="25" t="inlineStr"/>
      <c r="T62" s="25" t="inlineStr"/>
      <c r="U62" s="25" t="inlineStr"/>
      <c r="V62" s="24">
        <f>IF(P62="Not Run","Chưa chạy",IF(R62="","Thiếu Tester",IF(S62="","Thiếu Ngày chạy",IF(Q62="","Thiếu Actual Result",IF(AND(P62="Fail",T62=""),"Thiếu Defect ID",IF(AND(OR(P62="Fail",P62="Blocked"),U62=""),"Thiếu Evidence","Hợp lệ"))))))</f>
        <v/>
      </c>
    </row>
    <row r="63" ht="125" customHeight="1">
      <c r="A63" s="24" t="inlineStr">
        <is>
          <t>COM05-11B</t>
        </is>
      </c>
      <c r="B63" s="24" t="inlineStr">
        <is>
          <t>COM05-11</t>
        </is>
      </c>
      <c r="C63" s="24" t="inlineStr">
        <is>
          <t>UC-COM-05</t>
        </is>
      </c>
      <c r="D63" s="24" t="inlineStr">
        <is>
          <t>Alias endpoint cũ và mới</t>
        </is>
      </c>
      <c r="E63" s="24" t="inlineStr">
        <is>
          <t>POST</t>
        </is>
      </c>
      <c r="F63" s="24" t="inlineStr">
        <is>
          <t>{{base_url}}/api/v1/common/auth/reset-password/</t>
        </is>
      </c>
      <c r="G63" s="24" t="inlineStr">
        <is>
          <t>Không cần token (public endpoint)</t>
        </is>
      </c>
      <c r="H63" s="24" t="inlineStr">
        <is>
          <t>Các biến {{...}} trong path phải lấy từ response/seed; xem cột chuẩn bị dữ liệu.</t>
        </is>
      </c>
      <c r="I63" s="24" t="inlineStr">
        <is>
          <t>Không có</t>
        </is>
      </c>
      <c r="J63" s="24" t="inlineStr">
        <is>
          <t>Accept: application/json
Content-Type: application/json</t>
        </is>
      </c>
      <c r="K63" s="24" t="inlineStr">
        <is>
          <t>{
  "challenge": "{{password_reset_challenge}}",
  "code": "{{otp_code}}",
  "new_password": "{{new_password}}",
  "new_password_confirm": "{{new_password_confirm}}"
}</t>
        </is>
      </c>
      <c r="L63" s="24" t="inlineStr">
        <is>
          <t>1. Lấy challenge từ response trước đó và OTP từ email sandbox; không ghi OTP vào defect/evidence.
2. Điền UUID từ dữ liệu seed/staging; không tự đặt UUID giả nếu case yêu cầu object tồn tại.
3. Đối chiếu actor, membership, Permission và Data Scope trong sheet TEST_DATA.</t>
        </is>
      </c>
      <c r="M63" s="24" t="inlineStr">
        <is>
          <t>200</t>
        </is>
      </c>
      <c r="N63" s="24" t="inlineStr">
        <is>
          <t>Hai cặp route có hành vi/schema tương thích</t>
        </is>
      </c>
      <c r="O63" s="24" t="inlineStr">
        <is>
          <t>pm.test('HTTP thuộc [200]', () =&gt; pm.expect([200]).to.include(pm.response.code));
pm.test('Response không lộ secret', () =&gt; { const t=pm.response.text().toLowerCase(); ['password','refresh_token','access_token','otp_code'].forEach(k =&gt; pm.expect(t).not.to.include(k)); });</t>
        </is>
      </c>
      <c r="P63" s="25" t="inlineStr">
        <is>
          <t>Not Run</t>
        </is>
      </c>
      <c r="Q63" s="25" t="inlineStr"/>
      <c r="R63" s="25" t="inlineStr"/>
      <c r="S63" s="25" t="inlineStr"/>
      <c r="T63" s="25" t="inlineStr"/>
      <c r="U63" s="25" t="inlineStr"/>
      <c r="V63" s="24">
        <f>IF(P63="Not Run","Chưa chạy",IF(R63="","Thiếu Tester",IF(S63="","Thiếu Ngày chạy",IF(Q63="","Thiếu Actual Result",IF(AND(P63="Fail",T63=""),"Thiếu Defect ID",IF(AND(OR(P63="Fail",P63="Blocked"),U63=""),"Thiếu Evidence","Hợp lệ"))))))</f>
        <v/>
      </c>
    </row>
    <row r="64" ht="125" customHeight="1">
      <c r="A64" s="24" t="inlineStr">
        <is>
          <t>COM06-01</t>
        </is>
      </c>
      <c r="B64" s="24" t="inlineStr">
        <is>
          <t>COM06-01</t>
        </is>
      </c>
      <c r="C64" s="24" t="inlineStr">
        <is>
          <t>UC-COM-06</t>
        </is>
      </c>
      <c r="D64" s="24" t="inlineStr">
        <is>
          <t>Current password đúng, new password mạnh, confirm khớp</t>
        </is>
      </c>
      <c r="E64" s="24" t="inlineStr">
        <is>
          <t>POST</t>
        </is>
      </c>
      <c r="F64" s="24" t="inlineStr">
        <is>
          <t>{{base_url}}/api/v1/common/auth/change-password/</t>
        </is>
      </c>
      <c r="G64" s="24" t="inlineStr">
        <is>
          <t>{{access_token}} – actor theo TEST_DATA</t>
        </is>
      </c>
      <c r="H64" s="24" t="inlineStr">
        <is>
          <t>Các biến {{...}} trong path phải lấy từ response/seed; xem cột chuẩn bị dữ liệu.</t>
        </is>
      </c>
      <c r="I64" s="24" t="inlineStr">
        <is>
          <t>Không có</t>
        </is>
      </c>
      <c r="J64" s="24" t="inlineStr">
        <is>
          <t>Authorization: Bearer {{access_token}}
Accept: application/json
Content-Type: application/json</t>
        </is>
      </c>
      <c r="K64" s="24" t="inlineStr">
        <is>
          <t>{
  "current_password": "{{password}}",
  "new_password": "{{new_password}}",
  "new_password_confirm": "{{new_password_confirm}}"
}</t>
        </is>
      </c>
      <c r="L64"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64" s="24" t="inlineStr">
        <is>
          <t>200</t>
        </is>
      </c>
      <c r="N64" s="24" t="inlineStr">
        <is>
          <t>200 changed=true; mật khẩu cập nhật; security/audit event phù hợp</t>
        </is>
      </c>
      <c r="O64" s="24" t="inlineStr">
        <is>
          <t>pm.test('HTTP thuộc [200]', () =&gt; pm.expect([200]).to.include(pm.response.code));
pm.test('Response không lộ secret', () =&gt; { const t=pm.response.text().toLowerCase(); ['password','refresh_token','access_token','otp_code'].forEach(k =&gt; pm.expect(t).not.to.include(k)); });</t>
        </is>
      </c>
      <c r="P64" s="25" t="inlineStr">
        <is>
          <t>Not Run</t>
        </is>
      </c>
      <c r="Q64" s="25" t="inlineStr"/>
      <c r="R64" s="25" t="inlineStr"/>
      <c r="S64" s="25" t="inlineStr"/>
      <c r="T64" s="25" t="inlineStr"/>
      <c r="U64" s="25" t="inlineStr"/>
      <c r="V64" s="24">
        <f>IF(P64="Not Run","Chưa chạy",IF(R64="","Thiếu Tester",IF(S64="","Thiếu Ngày chạy",IF(Q64="","Thiếu Actual Result",IF(AND(P64="Fail",T64=""),"Thiếu Defect ID",IF(AND(OR(P64="Fail",P64="Blocked"),U64=""),"Thiếu Evidence","Hợp lệ"))))))</f>
        <v/>
      </c>
    </row>
    <row r="65" ht="125" customHeight="1">
      <c r="A65" s="24" t="inlineStr">
        <is>
          <t>COM06-02</t>
        </is>
      </c>
      <c r="B65" s="24" t="inlineStr">
        <is>
          <t>COM06-02</t>
        </is>
      </c>
      <c r="C65" s="24" t="inlineStr">
        <is>
          <t>UC-COM-06</t>
        </is>
      </c>
      <c r="D65" s="24" t="inlineStr">
        <is>
          <t>Current password sai lần 1–4</t>
        </is>
      </c>
      <c r="E65" s="24" t="inlineStr">
        <is>
          <t>POST</t>
        </is>
      </c>
      <c r="F65" s="24" t="inlineStr">
        <is>
          <t>{{base_url}}/api/v1/common/auth/change-password/</t>
        </is>
      </c>
      <c r="G65" s="24" t="inlineStr">
        <is>
          <t>{{access_token}} – actor theo TEST_DATA</t>
        </is>
      </c>
      <c r="H65" s="24" t="inlineStr">
        <is>
          <t>Các biến {{...}} trong path phải lấy từ response/seed; xem cột chuẩn bị dữ liệu.</t>
        </is>
      </c>
      <c r="I65" s="24" t="inlineStr">
        <is>
          <t>Không có</t>
        </is>
      </c>
      <c r="J65" s="24" t="inlineStr">
        <is>
          <t>Authorization: Bearer {{access_token}}
Accept: application/json
Content-Type: application/json</t>
        </is>
      </c>
      <c r="K65" s="24" t="inlineStr">
        <is>
          <t>{
  "current_password": "{{password}}",
  "new_password": "{{new_password}}",
  "new_password_confirm": "{{new_password_confirm}}"
}</t>
        </is>
      </c>
      <c r="L65"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65" s="24" t="inlineStr">
        <is>
          <t>400</t>
        </is>
      </c>
      <c r="N65" s="24" t="inlineStr">
        <is>
          <t>400; không đổi password; tăng failure của đúng session</t>
        </is>
      </c>
      <c r="O65" s="24" t="inlineStr">
        <is>
          <t>pm.test('HTTP thuộc [400]', () =&gt; pm.expect([400]).to.include(pm.response.code));
pm.test('Response không lộ secret', () =&gt; { const t=pm.response.text().toLowerCase(); ['password','refresh_token','access_token','otp_code'].forEach(k =&gt; pm.expect(t).not.to.include(k)); });</t>
        </is>
      </c>
      <c r="P65" s="25" t="inlineStr">
        <is>
          <t>Not Run</t>
        </is>
      </c>
      <c r="Q65" s="25" t="inlineStr"/>
      <c r="R65" s="25" t="inlineStr"/>
      <c r="S65" s="25" t="inlineStr"/>
      <c r="T65" s="25" t="inlineStr"/>
      <c r="U65" s="25" t="inlineStr"/>
      <c r="V65" s="24">
        <f>IF(P65="Not Run","Chưa chạy",IF(R65="","Thiếu Tester",IF(S65="","Thiếu Ngày chạy",IF(Q65="","Thiếu Actual Result",IF(AND(P65="Fail",T65=""),"Thiếu Defect ID",IF(AND(OR(P65="Fail",P65="Blocked"),U65=""),"Thiếu Evidence","Hợp lệ"))))))</f>
        <v/>
      </c>
    </row>
    <row r="66" ht="125" customHeight="1">
      <c r="A66" s="24" t="inlineStr">
        <is>
          <t>COM06-03</t>
        </is>
      </c>
      <c r="B66" s="24" t="inlineStr">
        <is>
          <t>COM06-03</t>
        </is>
      </c>
      <c r="C66" s="24" t="inlineStr">
        <is>
          <t>UC-COM-06</t>
        </is>
      </c>
      <c r="D66" s="24" t="inlineStr">
        <is>
          <t>Current password sai lần 5</t>
        </is>
      </c>
      <c r="E66" s="24" t="inlineStr">
        <is>
          <t>POST</t>
        </is>
      </c>
      <c r="F66" s="24" t="inlineStr">
        <is>
          <t>{{base_url}}/api/v1/common/auth/change-password/</t>
        </is>
      </c>
      <c r="G66" s="24" t="inlineStr">
        <is>
          <t>{{access_token}} – actor theo TEST_DATA</t>
        </is>
      </c>
      <c r="H66" s="24" t="inlineStr">
        <is>
          <t>Các biến {{...}} trong path phải lấy từ response/seed; xem cột chuẩn bị dữ liệu.</t>
        </is>
      </c>
      <c r="I66" s="24" t="inlineStr">
        <is>
          <t>Không có</t>
        </is>
      </c>
      <c r="J66" s="24" t="inlineStr">
        <is>
          <t>Authorization: Bearer {{access_token}}
Accept: application/json
Content-Type: application/json</t>
        </is>
      </c>
      <c r="K66" s="24" t="inlineStr">
        <is>
          <t>{
  "current_password": "{{password}}",
  "new_password": "{{new_password}}",
  "new_password_confirm": "{{new_password_confirm}}"
}</t>
        </is>
      </c>
      <c r="L66"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66" s="24" t="inlineStr">
        <is>
          <t>200</t>
        </is>
      </c>
      <c r="N66" s="24" t="inlineStr">
        <is>
          <t>Session hiện tại bị revoke; session khác không bị tác động ngoài quy tắc đã duyệt</t>
        </is>
      </c>
      <c r="O66" s="24" t="inlineStr">
        <is>
          <t>pm.test('HTTP thuộc [200]', () =&gt; pm.expect([200]).to.include(pm.response.code));
pm.test('Response không lộ secret', () =&gt; { const t=pm.response.text().toLowerCase(); ['password','refresh_token','access_token','otp_code'].forEach(k =&gt; pm.expect(t).not.to.include(k)); });</t>
        </is>
      </c>
      <c r="P66" s="25" t="inlineStr">
        <is>
          <t>Not Run</t>
        </is>
      </c>
      <c r="Q66" s="25" t="inlineStr"/>
      <c r="R66" s="25" t="inlineStr"/>
      <c r="S66" s="25" t="inlineStr"/>
      <c r="T66" s="25" t="inlineStr"/>
      <c r="U66" s="25" t="inlineStr"/>
      <c r="V66" s="24">
        <f>IF(P66="Not Run","Chưa chạy",IF(R66="","Thiếu Tester",IF(S66="","Thiếu Ngày chạy",IF(Q66="","Thiếu Actual Result",IF(AND(P66="Fail",T66=""),"Thiếu Defect ID",IF(AND(OR(P66="Fail",P66="Blocked"),U66=""),"Thiếu Evidence","Hợp lệ"))))))</f>
        <v/>
      </c>
    </row>
    <row r="67" ht="125" customHeight="1">
      <c r="A67" s="24" t="inlineStr">
        <is>
          <t>COM06-04</t>
        </is>
      </c>
      <c r="B67" s="24" t="inlineStr">
        <is>
          <t>COM06-04</t>
        </is>
      </c>
      <c r="C67" s="24" t="inlineStr">
        <is>
          <t>UC-COM-06</t>
        </is>
      </c>
      <c r="D67" s="24" t="inlineStr">
        <is>
          <t>New password trùng current</t>
        </is>
      </c>
      <c r="E67" s="24" t="inlineStr">
        <is>
          <t>POST</t>
        </is>
      </c>
      <c r="F67" s="24" t="inlineStr">
        <is>
          <t>{{base_url}}/api/v1/common/auth/change-password/</t>
        </is>
      </c>
      <c r="G67" s="24" t="inlineStr">
        <is>
          <t>{{access_token}} – actor theo TEST_DATA</t>
        </is>
      </c>
      <c r="H67" s="24" t="inlineStr">
        <is>
          <t>Các biến {{...}} trong path phải lấy từ response/seed; xem cột chuẩn bị dữ liệu.</t>
        </is>
      </c>
      <c r="I67" s="24" t="inlineStr">
        <is>
          <t>Không có</t>
        </is>
      </c>
      <c r="J67" s="24" t="inlineStr">
        <is>
          <t>Authorization: Bearer {{access_token}}
Accept: application/json
Content-Type: application/json</t>
        </is>
      </c>
      <c r="K67" s="24" t="inlineStr">
        <is>
          <t>{
  "current_password": "{{password}}",
  "new_password": "{{new_password}}",
  "new_password_confirm": "{{new_password_confirm}}"
}</t>
        </is>
      </c>
      <c r="L67"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67" s="24" t="inlineStr">
        <is>
          <t>400</t>
        </is>
      </c>
      <c r="N67" s="24" t="inlineStr">
        <is>
          <t>400; không gửi email success, không revoke session</t>
        </is>
      </c>
      <c r="O67" s="24" t="inlineStr">
        <is>
          <t>pm.test('HTTP thuộc [400]', () =&gt; pm.expect([400]).to.include(pm.response.code));
pm.test('Response không lộ secret', () =&gt; { const t=pm.response.text().toLowerCase(); ['password','refresh_token','access_token','otp_code'].forEach(k =&gt; pm.expect(t).not.to.include(k)); });</t>
        </is>
      </c>
      <c r="P67" s="25" t="inlineStr">
        <is>
          <t>Not Run</t>
        </is>
      </c>
      <c r="Q67" s="25" t="inlineStr"/>
      <c r="R67" s="25" t="inlineStr"/>
      <c r="S67" s="25" t="inlineStr"/>
      <c r="T67" s="25" t="inlineStr"/>
      <c r="U67" s="25" t="inlineStr"/>
      <c r="V67" s="24">
        <f>IF(P67="Not Run","Chưa chạy",IF(R67="","Thiếu Tester",IF(S67="","Thiếu Ngày chạy",IF(Q67="","Thiếu Actual Result",IF(AND(P67="Fail",T67=""),"Thiếu Defect ID",IF(AND(OR(P67="Fail",P67="Blocked"),U67=""),"Thiếu Evidence","Hợp lệ"))))))</f>
        <v/>
      </c>
    </row>
    <row r="68" ht="125" customHeight="1">
      <c r="A68" s="24" t="inlineStr">
        <is>
          <t>COM06-05</t>
        </is>
      </c>
      <c r="B68" s="24" t="inlineStr">
        <is>
          <t>COM06-05</t>
        </is>
      </c>
      <c r="C68" s="24" t="inlineStr">
        <is>
          <t>UC-COM-06</t>
        </is>
      </c>
      <c r="D68" s="24" t="inlineStr">
        <is>
          <t>New password yếu hoặc confirm sai</t>
        </is>
      </c>
      <c r="E68" s="24" t="inlineStr">
        <is>
          <t>POST</t>
        </is>
      </c>
      <c r="F68" s="24" t="inlineStr">
        <is>
          <t>{{base_url}}/api/v1/common/auth/change-password/</t>
        </is>
      </c>
      <c r="G68" s="24" t="inlineStr">
        <is>
          <t>{{access_token}} – actor theo TEST_DATA</t>
        </is>
      </c>
      <c r="H68" s="24" t="inlineStr">
        <is>
          <t>Các biến {{...}} trong path phải lấy từ response/seed; xem cột chuẩn bị dữ liệu.</t>
        </is>
      </c>
      <c r="I68" s="24" t="inlineStr">
        <is>
          <t>Không có</t>
        </is>
      </c>
      <c r="J68" s="24" t="inlineStr">
        <is>
          <t>Authorization: Bearer {{access_token}}
Accept: application/json
Content-Type: application/json</t>
        </is>
      </c>
      <c r="K68" s="24" t="inlineStr">
        <is>
          <t>{
  "current_password": "{{password}}",
  "new_password": "{{new_password}}",
  "new_password_confirm": "{{new_password_confirm}}"
}</t>
        </is>
      </c>
      <c r="L68"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68" s="24" t="inlineStr">
        <is>
          <t>400</t>
        </is>
      </c>
      <c r="N68" s="24" t="inlineStr">
        <is>
          <t>400 đúng field; không đổi dữ liệu</t>
        </is>
      </c>
      <c r="O68" s="24" t="inlineStr">
        <is>
          <t>pm.test('HTTP thuộc [400]', () =&gt; pm.expect([400]).to.include(pm.response.code));
pm.test('Response không lộ secret', () =&gt; { const t=pm.response.text().toLowerCase(); ['password','refresh_token','access_token','otp_code'].forEach(k =&gt; pm.expect(t).not.to.include(k)); });</t>
        </is>
      </c>
      <c r="P68" s="25" t="inlineStr">
        <is>
          <t>Not Run</t>
        </is>
      </c>
      <c r="Q68" s="25" t="inlineStr"/>
      <c r="R68" s="25" t="inlineStr"/>
      <c r="S68" s="25" t="inlineStr"/>
      <c r="T68" s="25" t="inlineStr"/>
      <c r="U68" s="25" t="inlineStr"/>
      <c r="V68" s="24">
        <f>IF(P68="Not Run","Chưa chạy",IF(R68="","Thiếu Tester",IF(S68="","Thiếu Ngày chạy",IF(Q68="","Thiếu Actual Result",IF(AND(P68="Fail",T68=""),"Thiếu Defect ID",IF(AND(OR(P68="Fail",P68="Blocked"),U68=""),"Thiếu Evidence","Hợp lệ"))))))</f>
        <v/>
      </c>
    </row>
    <row r="69" ht="125" customHeight="1">
      <c r="A69" s="24" t="inlineStr">
        <is>
          <t>COM06-06</t>
        </is>
      </c>
      <c r="B69" s="24" t="inlineStr">
        <is>
          <t>COM06-06</t>
        </is>
      </c>
      <c r="C69" s="24" t="inlineStr">
        <is>
          <t>UC-COM-06</t>
        </is>
      </c>
      <c r="D69" s="24" t="inlineStr">
        <is>
          <t>Đổi thành công khi có S1 và S2</t>
        </is>
      </c>
      <c r="E69" s="24" t="inlineStr">
        <is>
          <t>POST</t>
        </is>
      </c>
      <c r="F69" s="24" t="inlineStr">
        <is>
          <t>{{base_url}}/api/v1/common/auth/change-password/</t>
        </is>
      </c>
      <c r="G69" s="24" t="inlineStr">
        <is>
          <t>{{access_token}} – actor theo TEST_DATA</t>
        </is>
      </c>
      <c r="H69" s="24" t="inlineStr">
        <is>
          <t>Các biến {{...}} trong path phải lấy từ response/seed; xem cột chuẩn bị dữ liệu.</t>
        </is>
      </c>
      <c r="I69" s="24" t="inlineStr">
        <is>
          <t>Không có</t>
        </is>
      </c>
      <c r="J69" s="24" t="inlineStr">
        <is>
          <t>Authorization: Bearer {{access_token}}
Accept: application/json
Content-Type: application/json</t>
        </is>
      </c>
      <c r="K69" s="24" t="inlineStr">
        <is>
          <t>{
  "current_password": "{{password}}",
  "new_password": "{{new_password}}",
  "new_password_confirm": "{{new_password_confirm}}"
}</t>
        </is>
      </c>
      <c r="L69"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69" s="24" t="inlineStr">
        <is>
          <t>200</t>
        </is>
      </c>
      <c r="N69" s="24" t="inlineStr">
        <is>
          <t>Giữ S1 hiện tại; revoke S2 và mọi session khác với reason PASSWORD_CHANGED</t>
        </is>
      </c>
      <c r="O69" s="24" t="inlineStr">
        <is>
          <t>pm.test('HTTP thuộc [200]', () =&gt; pm.expect([200]).to.include(pm.response.code));
pm.test('Response không lộ secret', () =&gt; { const t=pm.response.text().toLowerCase(); ['password','refresh_token','access_token','otp_code'].forEach(k =&gt; pm.expect(t).not.to.include(k)); });</t>
        </is>
      </c>
      <c r="P69" s="25" t="inlineStr">
        <is>
          <t>Not Run</t>
        </is>
      </c>
      <c r="Q69" s="25" t="inlineStr"/>
      <c r="R69" s="25" t="inlineStr"/>
      <c r="S69" s="25" t="inlineStr"/>
      <c r="T69" s="25" t="inlineStr"/>
      <c r="U69" s="25" t="inlineStr"/>
      <c r="V69" s="24">
        <f>IF(P69="Not Run","Chưa chạy",IF(R69="","Thiếu Tester",IF(S69="","Thiếu Ngày chạy",IF(Q69="","Thiếu Actual Result",IF(AND(P69="Fail",T69=""),"Thiếu Defect ID",IF(AND(OR(P69="Fail",P69="Blocked"),U69=""),"Thiếu Evidence","Hợp lệ"))))))</f>
        <v/>
      </c>
    </row>
    <row r="70" ht="125" customHeight="1">
      <c r="A70" s="24" t="inlineStr">
        <is>
          <t>COM06-07</t>
        </is>
      </c>
      <c r="B70" s="24" t="inlineStr">
        <is>
          <t>COM06-07</t>
        </is>
      </c>
      <c r="C70" s="24" t="inlineStr">
        <is>
          <t>UC-COM-06</t>
        </is>
      </c>
      <c r="D70" s="24" t="inlineStr">
        <is>
          <t>Dùng mật khẩu cũ/mới sau đổi</t>
        </is>
      </c>
      <c r="E70" s="24" t="inlineStr">
        <is>
          <t>POST</t>
        </is>
      </c>
      <c r="F70" s="24" t="inlineStr">
        <is>
          <t>{{base_url}}/api/v1/common/auth/change-password/</t>
        </is>
      </c>
      <c r="G70" s="24" t="inlineStr">
        <is>
          <t>{{access_token}} – actor theo TEST_DATA</t>
        </is>
      </c>
      <c r="H70" s="24" t="inlineStr">
        <is>
          <t>Các biến {{...}} trong path phải lấy từ response/seed; xem cột chuẩn bị dữ liệu.</t>
        </is>
      </c>
      <c r="I70" s="24" t="inlineStr">
        <is>
          <t>Không có</t>
        </is>
      </c>
      <c r="J70" s="24" t="inlineStr">
        <is>
          <t>Authorization: Bearer {{access_token}}
Accept: application/json
Content-Type: application/json</t>
        </is>
      </c>
      <c r="K70" s="24" t="inlineStr">
        <is>
          <t>{
  "current_password": "{{password}}",
  "new_password": "{{new_password}}",
  "new_password_confirm": "{{new_password_confirm}}"
}</t>
        </is>
      </c>
      <c r="L70"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70" s="24" t="inlineStr">
        <is>
          <t>200</t>
        </is>
      </c>
      <c r="N70" s="24" t="inlineStr">
        <is>
          <t>Mật khẩu cũ thất bại, mật khẩu mới thành công</t>
        </is>
      </c>
      <c r="O70" s="24" t="inlineStr">
        <is>
          <t>pm.test('HTTP thuộc [200]', () =&gt; pm.expect([200]).to.include(pm.response.code));
pm.test('Response không lộ secret', () =&gt; { const t=pm.response.text().toLowerCase(); ['password','refresh_token','access_token','otp_code'].forEach(k =&gt; pm.expect(t).not.to.include(k)); });</t>
        </is>
      </c>
      <c r="P70" s="25" t="inlineStr">
        <is>
          <t>Not Run</t>
        </is>
      </c>
      <c r="Q70" s="25" t="inlineStr"/>
      <c r="R70" s="25" t="inlineStr"/>
      <c r="S70" s="25" t="inlineStr"/>
      <c r="T70" s="25" t="inlineStr"/>
      <c r="U70" s="25" t="inlineStr"/>
      <c r="V70" s="24">
        <f>IF(P70="Not Run","Chưa chạy",IF(R70="","Thiếu Tester",IF(S70="","Thiếu Ngày chạy",IF(Q70="","Thiếu Actual Result",IF(AND(P70="Fail",T70=""),"Thiếu Defect ID",IF(AND(OR(P70="Fail",P70="Blocked"),U70=""),"Thiếu Evidence","Hợp lệ"))))))</f>
        <v/>
      </c>
    </row>
    <row r="71" ht="125" customHeight="1">
      <c r="A71" s="24" t="inlineStr">
        <is>
          <t>COM06-08</t>
        </is>
      </c>
      <c r="B71" s="24" t="inlineStr">
        <is>
          <t>COM06-08</t>
        </is>
      </c>
      <c r="C71" s="24" t="inlineStr">
        <is>
          <t>UC-COM-06</t>
        </is>
      </c>
      <c r="D71" s="24" t="inlineStr">
        <is>
          <t>Email thông báo đổi mật khẩu lỗi</t>
        </is>
      </c>
      <c r="E71" s="24" t="inlineStr">
        <is>
          <t>POST</t>
        </is>
      </c>
      <c r="F71" s="24" t="inlineStr">
        <is>
          <t>{{base_url}}/api/v1/common/auth/change-password/</t>
        </is>
      </c>
      <c r="G71" s="24" t="inlineStr">
        <is>
          <t>{{access_token}} – actor theo TEST_DATA</t>
        </is>
      </c>
      <c r="H71" s="24" t="inlineStr">
        <is>
          <t>Các biến {{...}} trong path phải lấy từ response/seed; xem cột chuẩn bị dữ liệu.</t>
        </is>
      </c>
      <c r="I71" s="24" t="inlineStr">
        <is>
          <t>Không có</t>
        </is>
      </c>
      <c r="J71" s="24" t="inlineStr">
        <is>
          <t>Authorization: Bearer {{access_token}}
Accept: application/json
Content-Type: application/json</t>
        </is>
      </c>
      <c r="K71" s="24" t="inlineStr">
        <is>
          <t>{
  "current_password": "{{password}}",
  "new_password": "{{new_password}}",
  "new_password_confirm": "{{new_password_confirm}}"
}</t>
        </is>
      </c>
      <c r="L71"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71" s="24" t="inlineStr">
        <is>
          <t>200</t>
        </is>
      </c>
      <c r="N71" s="24" t="inlineStr">
        <is>
          <t>Đổi mật khẩu vẫn commit; tạo security event cảnh báo</t>
        </is>
      </c>
      <c r="O71" s="24" t="inlineStr">
        <is>
          <t>pm.test('HTTP thuộc [200]', () =&gt; pm.expect([200]).to.include(pm.response.code));
pm.test('Response không lộ secret', () =&gt; { const t=pm.response.text().toLowerCase(); ['password','refresh_token','access_token','otp_code'].forEach(k =&gt; pm.expect(t).not.to.include(k)); });</t>
        </is>
      </c>
      <c r="P71" s="25" t="inlineStr">
        <is>
          <t>Not Run</t>
        </is>
      </c>
      <c r="Q71" s="25" t="inlineStr"/>
      <c r="R71" s="25" t="inlineStr"/>
      <c r="S71" s="25" t="inlineStr"/>
      <c r="T71" s="25" t="inlineStr"/>
      <c r="U71" s="25" t="inlineStr"/>
      <c r="V71" s="24">
        <f>IF(P71="Not Run","Chưa chạy",IF(R71="","Thiếu Tester",IF(S71="","Thiếu Ngày chạy",IF(Q71="","Thiếu Actual Result",IF(AND(P71="Fail",T71=""),"Thiếu Defect ID",IF(AND(OR(P71="Fail",P71="Blocked"),U71=""),"Thiếu Evidence","Hợp lệ"))))))</f>
        <v/>
      </c>
    </row>
    <row r="72" ht="125" customHeight="1">
      <c r="A72" s="24" t="inlineStr">
        <is>
          <t>COM06-09</t>
        </is>
      </c>
      <c r="B72" s="24" t="inlineStr">
        <is>
          <t>COM06-09</t>
        </is>
      </c>
      <c r="C72" s="24" t="inlineStr">
        <is>
          <t>UC-COM-06</t>
        </is>
      </c>
      <c r="D72" s="24" t="inlineStr">
        <is>
          <t>User inactive hoặc không có JWT hợp lệ</t>
        </is>
      </c>
      <c r="E72" s="24" t="inlineStr">
        <is>
          <t>POST</t>
        </is>
      </c>
      <c r="F72" s="24" t="inlineStr">
        <is>
          <t>{{base_url}}/api/v1/common/auth/change-password/</t>
        </is>
      </c>
      <c r="G72" s="24" t="inlineStr">
        <is>
          <t>{{access_token}} – actor theo TEST_DATA</t>
        </is>
      </c>
      <c r="H72" s="24" t="inlineStr">
        <is>
          <t>Các biến {{...}} trong path phải lấy từ response/seed; xem cột chuẩn bị dữ liệu.</t>
        </is>
      </c>
      <c r="I72" s="24" t="inlineStr">
        <is>
          <t>Không có</t>
        </is>
      </c>
      <c r="J72" s="24" t="inlineStr">
        <is>
          <t>Authorization: Bearer {{access_token}}
Accept: application/json
Content-Type: application/json</t>
        </is>
      </c>
      <c r="K72" s="24" t="inlineStr">
        <is>
          <t>{
  "current_password": "{{password}}",
  "new_password": "{{new_password}}",
  "new_password_confirm": "{{new_password_confirm}}"
}</t>
        </is>
      </c>
      <c r="L72"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72" s="24" t="inlineStr">
        <is>
          <t>401, 403</t>
        </is>
      </c>
      <c r="N72" s="24" t="inlineStr">
        <is>
          <t>401/403; không thay đổi mật khẩu</t>
        </is>
      </c>
      <c r="O72" s="24" t="inlineStr">
        <is>
          <t>pm.test('HTTP thuộc [401, 403]', () =&gt; pm.expect([401, 403]).to.include(pm.response.code));
pm.test('Response không lộ secret', () =&gt; { const t=pm.response.text().toLowerCase(); ['password','refresh_token','access_token','otp_code'].forEach(k =&gt; pm.expect(t).not.to.include(k)); });</t>
        </is>
      </c>
      <c r="P72" s="25" t="inlineStr">
        <is>
          <t>Not Run</t>
        </is>
      </c>
      <c r="Q72" s="25" t="inlineStr"/>
      <c r="R72" s="25" t="inlineStr"/>
      <c r="S72" s="25" t="inlineStr"/>
      <c r="T72" s="25" t="inlineStr"/>
      <c r="U72" s="25" t="inlineStr"/>
      <c r="V72" s="24">
        <f>IF(P72="Not Run","Chưa chạy",IF(R72="","Thiếu Tester",IF(S72="","Thiếu Ngày chạy",IF(Q72="","Thiếu Actual Result",IF(AND(P72="Fail",T72=""),"Thiếu Defect ID",IF(AND(OR(P72="Fail",P72="Blocked"),U72=""),"Thiếu Evidence","Hợp lệ"))))))</f>
        <v/>
      </c>
    </row>
    <row r="73" ht="125" customHeight="1">
      <c r="A73" s="24" t="inlineStr">
        <is>
          <t>COM07-01</t>
        </is>
      </c>
      <c r="B73" s="24" t="inlineStr">
        <is>
          <t>COM07-01</t>
        </is>
      </c>
      <c r="C73" s="24" t="inlineStr">
        <is>
          <t>UC-COM-07</t>
        </is>
      </c>
      <c r="D73" s="24" t="inlineStr">
        <is>
          <t>GET hồ sơ với JWT hợp lệ</t>
        </is>
      </c>
      <c r="E73" s="24" t="inlineStr">
        <is>
          <t>GET</t>
        </is>
      </c>
      <c r="F73" s="24" t="inlineStr">
        <is>
          <t>{{base_url}}/api/v1/common/profile/</t>
        </is>
      </c>
      <c r="G73" s="24" t="inlineStr">
        <is>
          <t>{{access_token}} – actor theo TEST_DATA</t>
        </is>
      </c>
      <c r="H73" s="24" t="inlineStr">
        <is>
          <t>Các biến {{...}} trong path phải lấy từ response/seed; xem cột chuẩn bị dữ liệu.</t>
        </is>
      </c>
      <c r="I73" s="24" t="inlineStr">
        <is>
          <t>Không có</t>
        </is>
      </c>
      <c r="J73" s="24" t="inlineStr">
        <is>
          <t>Authorization: Bearer {{access_token}}
Accept: application/json
Content-Type: application/json</t>
        </is>
      </c>
      <c r="K73" s="24" t="inlineStr">
        <is>
          <t>Không có body</t>
        </is>
      </c>
      <c r="L73"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73" s="24" t="inlineStr">
        <is>
          <t>200</t>
        </is>
      </c>
      <c r="N73" s="24" t="inlineStr">
        <is>
          <t>Trả đúng dữ liệu của user hiện tại; không trả hash/password/token</t>
        </is>
      </c>
      <c r="O73" s="24" t="inlineStr">
        <is>
          <t>pm.test('HTTP thuộc [200]', () =&gt; pm.expect([200]).to.include(pm.response.code));
pm.test('Response không lộ secret', () =&gt; { const t=pm.response.text().toLowerCase(); ['password','refresh_token','access_token','otp_code'].forEach(k =&gt; pm.expect(t).not.to.include(k)); });</t>
        </is>
      </c>
      <c r="P73" s="25" t="inlineStr">
        <is>
          <t>Not Run</t>
        </is>
      </c>
      <c r="Q73" s="25" t="inlineStr"/>
      <c r="R73" s="25" t="inlineStr"/>
      <c r="S73" s="25" t="inlineStr"/>
      <c r="T73" s="25" t="inlineStr"/>
      <c r="U73" s="25" t="inlineStr"/>
      <c r="V73" s="24">
        <f>IF(P73="Not Run","Chưa chạy",IF(R73="","Thiếu Tester",IF(S73="","Thiếu Ngày chạy",IF(Q73="","Thiếu Actual Result",IF(AND(P73="Fail",T73=""),"Thiếu Defect ID",IF(AND(OR(P73="Fail",P73="Blocked"),U73=""),"Thiếu Evidence","Hợp lệ"))))))</f>
        <v/>
      </c>
    </row>
    <row r="74" ht="125" customHeight="1">
      <c r="A74" s="24" t="inlineStr">
        <is>
          <t>COM07-02</t>
        </is>
      </c>
      <c r="B74" s="24" t="inlineStr">
        <is>
          <t>COM07-02</t>
        </is>
      </c>
      <c r="C74" s="24" t="inlineStr">
        <is>
          <t>UC-COM-07</t>
        </is>
      </c>
      <c r="D74" s="24" t="inlineStr">
        <is>
          <t>PATCH display_name, phone, first_name, last_name hợp lệ</t>
        </is>
      </c>
      <c r="E74" s="24" t="inlineStr">
        <is>
          <t>PATCH</t>
        </is>
      </c>
      <c r="F74" s="24" t="inlineStr">
        <is>
          <t>{{base_url}}/api/v1/common/profile/</t>
        </is>
      </c>
      <c r="G74" s="24" t="inlineStr">
        <is>
          <t>{{access_token}} – actor theo TEST_DATA</t>
        </is>
      </c>
      <c r="H74" s="24" t="inlineStr">
        <is>
          <t>Các biến {{...}} trong path phải lấy từ response/seed; xem cột chuẩn bị dữ liệu.</t>
        </is>
      </c>
      <c r="I74" s="24" t="inlineStr">
        <is>
          <t>Không có</t>
        </is>
      </c>
      <c r="J74" s="24" t="inlineStr">
        <is>
          <t>Authorization: Bearer {{access_token}}
Accept: application/json
Content-Type: application/json</t>
        </is>
      </c>
      <c r="K74" s="24" t="inlineStr">
        <is>
          <t>{
  "display_name": "Nguyễn Văn QA",
  "phone": "0901234567",
  "first_name": "Văn",
  "last_name": "Nguyễn",
  "version": "{{profile_version}}"
}</t>
        </is>
      </c>
      <c r="L74"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74" s="24" t="inlineStr">
        <is>
          <t>200</t>
        </is>
      </c>
      <c r="N74" s="24" t="inlineStr">
        <is>
          <t>200; chuẩn hóa display name; DB và response đồng nhất; ghi audit cho các membership</t>
        </is>
      </c>
      <c r="O74" s="24" t="inlineStr">
        <is>
          <t>pm.test('HTTP thuộc [200]', () =&gt; pm.expect([200]).to.include(pm.response.code));
pm.test('Response không lộ secret', () =&gt; { const t=pm.response.text().toLowerCase(); ['password','refresh_token','access_token','otp_code'].forEach(k =&gt; pm.expect(t).not.to.include(k)); });</t>
        </is>
      </c>
      <c r="P74" s="25" t="inlineStr">
        <is>
          <t>Not Run</t>
        </is>
      </c>
      <c r="Q74" s="25" t="inlineStr"/>
      <c r="R74" s="25" t="inlineStr"/>
      <c r="S74" s="25" t="inlineStr"/>
      <c r="T74" s="25" t="inlineStr"/>
      <c r="U74" s="25" t="inlineStr"/>
      <c r="V74" s="24">
        <f>IF(P74="Not Run","Chưa chạy",IF(R74="","Thiếu Tester",IF(S74="","Thiếu Ngày chạy",IF(Q74="","Thiếu Actual Result",IF(AND(P74="Fail",T74=""),"Thiếu Defect ID",IF(AND(OR(P74="Fail",P74="Blocked"),U74=""),"Thiếu Evidence","Hợp lệ"))))))</f>
        <v/>
      </c>
    </row>
    <row r="75" ht="125" customHeight="1">
      <c r="A75" s="24" t="inlineStr">
        <is>
          <t>COM07-03</t>
        </is>
      </c>
      <c r="B75" s="24" t="inlineStr">
        <is>
          <t>COM07-03</t>
        </is>
      </c>
      <c r="C75" s="24" t="inlineStr">
        <is>
          <t>UC-COM-07</t>
        </is>
      </c>
      <c r="D75" s="24" t="inlineStr">
        <is>
          <t>Cố sửa email/username/status/id qua PATCH</t>
        </is>
      </c>
      <c r="E75" s="24" t="inlineStr">
        <is>
          <t>PATCH</t>
        </is>
      </c>
      <c r="F75" s="24" t="inlineStr">
        <is>
          <t>{{base_url}}/api/v1/common/profile/</t>
        </is>
      </c>
      <c r="G75" s="24" t="inlineStr">
        <is>
          <t>{{access_token}} – actor theo TEST_DATA</t>
        </is>
      </c>
      <c r="H75" s="24" t="inlineStr">
        <is>
          <t>Các biến {{...}} trong path phải lấy từ response/seed; xem cột chuẩn bị dữ liệu.</t>
        </is>
      </c>
      <c r="I75" s="24" t="inlineStr">
        <is>
          <t>Không có</t>
        </is>
      </c>
      <c r="J75" s="24" t="inlineStr">
        <is>
          <t>Authorization: Bearer {{access_token}}
Accept: application/json
Content-Type: application/json</t>
        </is>
      </c>
      <c r="K75" s="24" t="inlineStr">
        <is>
          <t>{
  "display_name": "Nguyễn Văn QA",
  "phone": "0901234567",
  "first_name": "Văn",
  "last_name": "Nguyễn",
  "version": "{{profile_version}}"
}</t>
        </is>
      </c>
      <c r="L75"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75" s="24" t="inlineStr">
        <is>
          <t>400</t>
        </is>
      </c>
      <c r="N75" s="24" t="inlineStr">
        <is>
          <t>400 hoặc bỏ qua an toàn theo hợp đồng; không thay đổi field read-only</t>
        </is>
      </c>
      <c r="O75" s="24" t="inlineStr">
        <is>
          <t>pm.test('HTTP thuộc [400]', () =&gt; pm.expect([400]).to.include(pm.response.code));
pm.test('Response không lộ secret', () =&gt; { const t=pm.response.text().toLowerCase(); ['password','refresh_token','access_token','otp_code'].forEach(k =&gt; pm.expect(t).not.to.include(k)); });</t>
        </is>
      </c>
      <c r="P75" s="25" t="inlineStr">
        <is>
          <t>Not Run</t>
        </is>
      </c>
      <c r="Q75" s="25" t="inlineStr"/>
      <c r="R75" s="25" t="inlineStr"/>
      <c r="S75" s="25" t="inlineStr"/>
      <c r="T75" s="25" t="inlineStr"/>
      <c r="U75" s="25" t="inlineStr"/>
      <c r="V75" s="24">
        <f>IF(P75="Not Run","Chưa chạy",IF(R75="","Thiếu Tester",IF(S75="","Thiếu Ngày chạy",IF(Q75="","Thiếu Actual Result",IF(AND(P75="Fail",T75=""),"Thiếu Defect ID",IF(AND(OR(P75="Fail",P75="Blocked"),U75=""),"Thiếu Evidence","Hợp lệ"))))))</f>
        <v/>
      </c>
    </row>
    <row r="76" ht="125" customHeight="1">
      <c r="A76" s="24" t="inlineStr">
        <is>
          <t>COM07-04</t>
        </is>
      </c>
      <c r="B76" s="24" t="inlineStr">
        <is>
          <t>COM07-04</t>
        </is>
      </c>
      <c r="C76" s="24" t="inlineStr">
        <is>
          <t>UC-COM-07</t>
        </is>
      </c>
      <c r="D76" s="24" t="inlineStr">
        <is>
          <t>Phone sai định dạng hoặc trùng user khác</t>
        </is>
      </c>
      <c r="E76" s="24" t="inlineStr">
        <is>
          <t>PATCH</t>
        </is>
      </c>
      <c r="F76" s="24" t="inlineStr">
        <is>
          <t>{{base_url}}/api/v1/common/profile/</t>
        </is>
      </c>
      <c r="G76" s="24" t="inlineStr">
        <is>
          <t>{{token_u4}} – U4 chỉ có C1/B1</t>
        </is>
      </c>
      <c r="H76" s="24" t="inlineStr">
        <is>
          <t>Các biến {{...}} trong path phải lấy từ response/seed; xem cột chuẩn bị dữ liệu.</t>
        </is>
      </c>
      <c r="I76" s="24" t="inlineStr">
        <is>
          <t>Không có</t>
        </is>
      </c>
      <c r="J76" s="24" t="inlineStr">
        <is>
          <t>Authorization: Bearer {{access_token}}
Accept: application/json
Content-Type: application/json</t>
        </is>
      </c>
      <c r="K76" s="24" t="inlineStr">
        <is>
          <t>{
  "display_name": "Nguyễn Văn QA",
  "phone": "0901234567",
  "first_name": "Văn",
  "last_name": "Nguyễn",
  "version": "{{profile_version}}"
}</t>
        </is>
      </c>
      <c r="L76"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76" s="24" t="inlineStr">
        <is>
          <t>400</t>
        </is>
      </c>
      <c r="N76" s="24" t="inlineStr">
        <is>
          <t>400; không cập nhật một phần</t>
        </is>
      </c>
      <c r="O76" s="24" t="inlineStr">
        <is>
          <t>pm.test('HTTP thuộc [400]', () =&gt; pm.expect([400]).to.include(pm.response.code));
pm.test('Response không lộ secret', () =&gt; { const t=pm.response.text().toLowerCase(); ['password','refresh_token','access_token','otp_code'].forEach(k =&gt; pm.expect(t).not.to.include(k)); });</t>
        </is>
      </c>
      <c r="P76" s="25" t="inlineStr">
        <is>
          <t>Not Run</t>
        </is>
      </c>
      <c r="Q76" s="25" t="inlineStr"/>
      <c r="R76" s="25" t="inlineStr"/>
      <c r="S76" s="25" t="inlineStr"/>
      <c r="T76" s="25" t="inlineStr"/>
      <c r="U76" s="25" t="inlineStr"/>
      <c r="V76" s="24">
        <f>IF(P76="Not Run","Chưa chạy",IF(R76="","Thiếu Tester",IF(S76="","Thiếu Ngày chạy",IF(Q76="","Thiếu Actual Result",IF(AND(P76="Fail",T76=""),"Thiếu Defect ID",IF(AND(OR(P76="Fail",P76="Blocked"),U76=""),"Thiếu Evidence","Hợp lệ"))))))</f>
        <v/>
      </c>
    </row>
    <row r="77" ht="125" customHeight="1">
      <c r="A77" s="24" t="inlineStr">
        <is>
          <t>COM07-05</t>
        </is>
      </c>
      <c r="B77" s="24" t="inlineStr">
        <is>
          <t>COM07-05</t>
        </is>
      </c>
      <c r="C77" s="24" t="inlineStr">
        <is>
          <t>UC-COM-07</t>
        </is>
      </c>
      <c r="D77" s="24" t="inlineStr">
        <is>
          <t>PATCH body không có field cho phép</t>
        </is>
      </c>
      <c r="E77" s="24" t="inlineStr">
        <is>
          <t>PATCH</t>
        </is>
      </c>
      <c r="F77" s="24" t="inlineStr">
        <is>
          <t>{{base_url}}/api/v1/common/profile/</t>
        </is>
      </c>
      <c r="G77" s="24" t="inlineStr">
        <is>
          <t>{{access_token}} – actor theo TEST_DATA</t>
        </is>
      </c>
      <c r="H77" s="24" t="inlineStr">
        <is>
          <t>Các biến {{...}} trong path phải lấy từ response/seed; xem cột chuẩn bị dữ liệu.</t>
        </is>
      </c>
      <c r="I77" s="24" t="inlineStr">
        <is>
          <t>Không có</t>
        </is>
      </c>
      <c r="J77" s="24" t="inlineStr">
        <is>
          <t>Authorization: Bearer {{access_token}}
Accept: application/json
Content-Type: application/json</t>
        </is>
      </c>
      <c r="K77" s="24" t="inlineStr">
        <is>
          <t>{
  "display_name": "Nguyễn Văn QA",
  "phone": "0901234567",
  "first_name": "Văn",
  "last_name": "Nguyễn",
  "version": "{{profile_version}}"
}</t>
        </is>
      </c>
      <c r="L77"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77" s="24" t="inlineStr">
        <is>
          <t>400</t>
        </is>
      </c>
      <c r="N77" s="24" t="inlineStr">
        <is>
          <t>400 Không có thông tin hồ sơ nào được thay đổi</t>
        </is>
      </c>
      <c r="O77" s="24" t="inlineStr">
        <is>
          <t>pm.test('HTTP thuộc [400]', () =&gt; pm.expect([400]).to.include(pm.response.code));
pm.test('Response không lộ secret', () =&gt; { const t=pm.response.text().toLowerCase(); ['password','refresh_token','access_token','otp_code'].forEach(k =&gt; pm.expect(t).not.to.include(k)); });</t>
        </is>
      </c>
      <c r="P77" s="25" t="inlineStr">
        <is>
          <t>Not Run</t>
        </is>
      </c>
      <c r="Q77" s="25" t="inlineStr"/>
      <c r="R77" s="25" t="inlineStr"/>
      <c r="S77" s="25" t="inlineStr"/>
      <c r="T77" s="25" t="inlineStr"/>
      <c r="U77" s="25" t="inlineStr"/>
      <c r="V77" s="24">
        <f>IF(P77="Not Run","Chưa chạy",IF(R77="","Thiếu Tester",IF(S77="","Thiếu Ngày chạy",IF(Q77="","Thiếu Actual Result",IF(AND(P77="Fail",T77=""),"Thiếu Defect ID",IF(AND(OR(P77="Fail",P77="Blocked"),U77=""),"Thiếu Evidence","Hợp lệ"))))))</f>
        <v/>
      </c>
    </row>
    <row r="78" ht="125" customHeight="1">
      <c r="A78" s="24" t="inlineStr">
        <is>
          <t>COM07-06</t>
        </is>
      </c>
      <c r="B78" s="24" t="inlineStr">
        <is>
          <t>COM07-06</t>
        </is>
      </c>
      <c r="C78" s="24" t="inlineStr">
        <is>
          <t>UC-COM-07</t>
        </is>
      </c>
      <c r="D78" s="24" t="inlineStr">
        <is>
          <t>Upload JPEG/PNG thật &lt;= 5 MB</t>
        </is>
      </c>
      <c r="E78" s="24" t="inlineStr">
        <is>
          <t>PATCH</t>
        </is>
      </c>
      <c r="F78" s="24" t="inlineStr">
        <is>
          <t>{{base_url}}/api/v1/common/profile/</t>
        </is>
      </c>
      <c r="G78" s="24" t="inlineStr">
        <is>
          <t>{{access_token}} – actor theo TEST_DATA</t>
        </is>
      </c>
      <c r="H78" s="24" t="inlineStr">
        <is>
          <t>Các biến {{...}} trong path phải lấy từ response/seed; xem cột chuẩn bị dữ liệu.</t>
        </is>
      </c>
      <c r="I78" s="24" t="inlineStr">
        <is>
          <t>Không có</t>
        </is>
      </c>
      <c r="J78" s="24" t="inlineStr">
        <is>
          <t>Authorization: Bearer {{access_token}}
Accept: application/json
Content-Type: application/json</t>
        </is>
      </c>
      <c r="K78" s="24" t="inlineStr">
        <is>
          <t>{
  "display_name": "Nguyễn Văn QA",
  "phone": "0901234567",
  "first_name": "Văn",
  "last_name": "Nguyễn",
  "version": "{{profile_version}}"
}</t>
        </is>
      </c>
      <c r="L78"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78" s="24" t="inlineStr">
        <is>
          <t>200</t>
        </is>
      </c>
      <c r="N78" s="24" t="inlineStr">
        <is>
          <t>Lưu avatar; trả URL hợp lệ và truy cập đúng quyền/cấu hình media</t>
        </is>
      </c>
      <c r="O78" s="24" t="inlineStr">
        <is>
          <t>pm.test('HTTP thuộc [200]', () =&gt; pm.expect([200]).to.include(pm.response.code));
pm.test('Response không lộ secret', () =&gt; { const t=pm.response.text().toLowerCase(); ['password','refresh_token','access_token','otp_code'].forEach(k =&gt; pm.expect(t).not.to.include(k)); });</t>
        </is>
      </c>
      <c r="P78" s="25" t="inlineStr">
        <is>
          <t>Not Run</t>
        </is>
      </c>
      <c r="Q78" s="25" t="inlineStr"/>
      <c r="R78" s="25" t="inlineStr"/>
      <c r="S78" s="25" t="inlineStr"/>
      <c r="T78" s="25" t="inlineStr"/>
      <c r="U78" s="25" t="inlineStr"/>
      <c r="V78" s="24">
        <f>IF(P78="Not Run","Chưa chạy",IF(R78="","Thiếu Tester",IF(S78="","Thiếu Ngày chạy",IF(Q78="","Thiếu Actual Result",IF(AND(P78="Fail",T78=""),"Thiếu Defect ID",IF(AND(OR(P78="Fail",P78="Blocked"),U78=""),"Thiếu Evidence","Hợp lệ"))))))</f>
        <v/>
      </c>
    </row>
    <row r="79" ht="125" customHeight="1">
      <c r="A79" s="24" t="inlineStr">
        <is>
          <t>COM07-07</t>
        </is>
      </c>
      <c r="B79" s="24" t="inlineStr">
        <is>
          <t>COM07-07</t>
        </is>
      </c>
      <c r="C79" s="24" t="inlineStr">
        <is>
          <t>UC-COM-07</t>
        </is>
      </c>
      <c r="D79" s="24" t="inlineStr">
        <is>
          <t>File giả mạo extension, sai magic bytes hoặc &gt; 5 MB</t>
        </is>
      </c>
      <c r="E79" s="24" t="inlineStr">
        <is>
          <t>PATCH</t>
        </is>
      </c>
      <c r="F79" s="24" t="inlineStr">
        <is>
          <t>{{base_url}}/api/v1/common/profile/</t>
        </is>
      </c>
      <c r="G79" s="24" t="inlineStr">
        <is>
          <t>{{access_token}} – actor theo TEST_DATA</t>
        </is>
      </c>
      <c r="H79" s="24" t="inlineStr">
        <is>
          <t>Các biến {{...}} trong path phải lấy từ response/seed; xem cột chuẩn bị dữ liệu.</t>
        </is>
      </c>
      <c r="I79" s="24" t="inlineStr">
        <is>
          <t>Không có</t>
        </is>
      </c>
      <c r="J79" s="24" t="inlineStr">
        <is>
          <t>Authorization: Bearer {{access_token}}
Accept: application/json
Content-Type: application/json</t>
        </is>
      </c>
      <c r="K79" s="24" t="inlineStr">
        <is>
          <t>{
  "display_name": "Nguyễn Văn QA",
  "phone": "0901234567",
  "first_name": "Văn",
  "last_name": "Nguyễn",
  "version": "{{profile_version}}"
}</t>
        </is>
      </c>
      <c r="L79"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79" s="24" t="inlineStr">
        <is>
          <t>400</t>
        </is>
      </c>
      <c r="N79" s="24" t="inlineStr">
        <is>
          <t>400; không lưu file; không thực thi nội dung</t>
        </is>
      </c>
      <c r="O79" s="24" t="inlineStr">
        <is>
          <t>pm.test('HTTP thuộc [400]', () =&gt; pm.expect([400]).to.include(pm.response.code));
pm.test('Response không lộ secret', () =&gt; { const t=pm.response.text().toLowerCase(); ['password','refresh_token','access_token','otp_code'].forEach(k =&gt; pm.expect(t).not.to.include(k)); });</t>
        </is>
      </c>
      <c r="P79" s="25" t="inlineStr">
        <is>
          <t>Not Run</t>
        </is>
      </c>
      <c r="Q79" s="25" t="inlineStr"/>
      <c r="R79" s="25" t="inlineStr"/>
      <c r="S79" s="25" t="inlineStr"/>
      <c r="T79" s="25" t="inlineStr"/>
      <c r="U79" s="25" t="inlineStr"/>
      <c r="V79" s="24">
        <f>IF(P79="Not Run","Chưa chạy",IF(R79="","Thiếu Tester",IF(S79="","Thiếu Ngày chạy",IF(Q79="","Thiếu Actual Result",IF(AND(P79="Fail",T79=""),"Thiếu Defect ID",IF(AND(OR(P79="Fail",P79="Blocked"),U79=""),"Thiếu Evidence","Hợp lệ"))))))</f>
        <v/>
      </c>
    </row>
    <row r="80" ht="125" customHeight="1">
      <c r="A80" s="24" t="inlineStr">
        <is>
          <t>COM07-08</t>
        </is>
      </c>
      <c r="B80" s="24" t="inlineStr">
        <is>
          <t>COM07-08</t>
        </is>
      </c>
      <c r="C80" s="24" t="inlineStr">
        <is>
          <t>UC-COM-07</t>
        </is>
      </c>
      <c r="D80" s="24" t="inlineStr">
        <is>
          <t>remove_avatar=true</t>
        </is>
      </c>
      <c r="E80" s="24" t="inlineStr">
        <is>
          <t>PATCH</t>
        </is>
      </c>
      <c r="F80" s="24" t="inlineStr">
        <is>
          <t>{{base_url}}/api/v1/common/profile/</t>
        </is>
      </c>
      <c r="G80" s="24" t="inlineStr">
        <is>
          <t>{{access_token}} – actor theo TEST_DATA</t>
        </is>
      </c>
      <c r="H80" s="24" t="inlineStr">
        <is>
          <t>Các biến {{...}} trong path phải lấy từ response/seed; xem cột chuẩn bị dữ liệu.</t>
        </is>
      </c>
      <c r="I80" s="24" t="inlineStr">
        <is>
          <t>Không có</t>
        </is>
      </c>
      <c r="J80" s="24" t="inlineStr">
        <is>
          <t>Authorization: Bearer {{access_token}}
Accept: application/json
Content-Type: application/json</t>
        </is>
      </c>
      <c r="K80" s="24" t="inlineStr">
        <is>
          <t>{
  "display_name": "Nguyễn Văn QA",
  "phone": "0901234567",
  "first_name": "Văn",
  "last_name": "Nguyễn",
  "version": "{{profile_version}}"
}</t>
        </is>
      </c>
      <c r="L80"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80" s="24" t="inlineStr">
        <is>
          <t>200</t>
        </is>
      </c>
      <c r="N80" s="24" t="inlineStr">
        <is>
          <t>Gỡ liên kết avatar; response avatar_url=null; xử lý file vật lý theo chính sách</t>
        </is>
      </c>
      <c r="O80" s="24" t="inlineStr">
        <is>
          <t>pm.test('HTTP thuộc [200]', () =&gt; pm.expect([200]).to.include(pm.response.code));
pm.test('Response không lộ secret', () =&gt; { const t=pm.response.text().toLowerCase(); ['password','refresh_token','access_token','otp_code'].forEach(k =&gt; pm.expect(t).not.to.include(k)); });</t>
        </is>
      </c>
      <c r="P80" s="25" t="inlineStr">
        <is>
          <t>Not Run</t>
        </is>
      </c>
      <c r="Q80" s="25" t="inlineStr"/>
      <c r="R80" s="25" t="inlineStr"/>
      <c r="S80" s="25" t="inlineStr"/>
      <c r="T80" s="25" t="inlineStr"/>
      <c r="U80" s="25" t="inlineStr"/>
      <c r="V80" s="24">
        <f>IF(P80="Not Run","Chưa chạy",IF(R80="","Thiếu Tester",IF(S80="","Thiếu Ngày chạy",IF(Q80="","Thiếu Actual Result",IF(AND(P80="Fail",T80=""),"Thiếu Defect ID",IF(AND(OR(P80="Fail",P80="Blocked"),U80=""),"Thiếu Evidence","Hợp lệ"))))))</f>
        <v/>
      </c>
    </row>
    <row r="81" ht="125" customHeight="1">
      <c r="A81" s="24" t="inlineStr">
        <is>
          <t>COM07-09</t>
        </is>
      </c>
      <c r="B81" s="24" t="inlineStr">
        <is>
          <t>COM07-09</t>
        </is>
      </c>
      <c r="C81" s="24" t="inlineStr">
        <is>
          <t>UC-COM-07</t>
        </is>
      </c>
      <c r="D81" s="24" t="inlineStr">
        <is>
          <t>Optimistic locking với version cũ</t>
        </is>
      </c>
      <c r="E81" s="24" t="inlineStr">
        <is>
          <t>PATCH</t>
        </is>
      </c>
      <c r="F81" s="24" t="inlineStr">
        <is>
          <t>{{base_url}}/api/v1/common/profile/</t>
        </is>
      </c>
      <c r="G81" s="24" t="inlineStr">
        <is>
          <t>{{access_token}} – actor theo TEST_DATA</t>
        </is>
      </c>
      <c r="H81" s="24" t="inlineStr">
        <is>
          <t>Các biến {{...}} trong path phải lấy từ response/seed; xem cột chuẩn bị dữ liệu.</t>
        </is>
      </c>
      <c r="I81" s="24" t="inlineStr">
        <is>
          <t>Không có</t>
        </is>
      </c>
      <c r="J81" s="24" t="inlineStr">
        <is>
          <t>Authorization: Bearer {{access_token}}
Accept: application/json
Content-Type: application/json</t>
        </is>
      </c>
      <c r="K81" s="24" t="inlineStr">
        <is>
          <t>{
  "display_name": "Nguyễn Văn QA",
  "phone": "0901234567",
  "first_name": "Văn",
  "last_name": "Nguyễn",
  "version": "{{profile_version}}"
}</t>
        </is>
      </c>
      <c r="L81"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81" s="24" t="inlineStr">
        <is>
          <t>400</t>
        </is>
      </c>
      <c r="N81" s="24" t="inlineStr">
        <is>
          <t>400; không ghi đè thay đổi từ phiên khác</t>
        </is>
      </c>
      <c r="O81" s="24" t="inlineStr">
        <is>
          <t>pm.test('HTTP thuộc [400]', () =&gt; pm.expect([400]).to.include(pm.response.code));
pm.test('Response không lộ secret', () =&gt; { const t=pm.response.text().toLowerCase(); ['password','refresh_token','access_token','otp_code'].forEach(k =&gt; pm.expect(t).not.to.include(k)); });</t>
        </is>
      </c>
      <c r="P81" s="25" t="inlineStr">
        <is>
          <t>Not Run</t>
        </is>
      </c>
      <c r="Q81" s="25" t="inlineStr"/>
      <c r="R81" s="25" t="inlineStr"/>
      <c r="S81" s="25" t="inlineStr"/>
      <c r="T81" s="25" t="inlineStr"/>
      <c r="U81" s="25" t="inlineStr"/>
      <c r="V81" s="24">
        <f>IF(P81="Not Run","Chưa chạy",IF(R81="","Thiếu Tester",IF(S81="","Thiếu Ngày chạy",IF(Q81="","Thiếu Actual Result",IF(AND(P81="Fail",T81=""),"Thiếu Defect ID",IF(AND(OR(P81="Fail",P81="Blocked"),U81=""),"Thiếu Evidence","Hợp lệ"))))))</f>
        <v/>
      </c>
    </row>
    <row r="82" ht="125" customHeight="1">
      <c r="A82" s="24" t="inlineStr">
        <is>
          <t>COM07-10</t>
        </is>
      </c>
      <c r="B82" s="24" t="inlineStr">
        <is>
          <t>COM07-10</t>
        </is>
      </c>
      <c r="C82" s="24" t="inlineStr">
        <is>
          <t>UC-COM-07</t>
        </is>
      </c>
      <c r="D82" s="24" t="inlineStr">
        <is>
          <t>Hai PATCH đồng thời với cùng version</t>
        </is>
      </c>
      <c r="E82" s="24" t="inlineStr">
        <is>
          <t>PATCH</t>
        </is>
      </c>
      <c r="F82" s="24" t="inlineStr">
        <is>
          <t>{{base_url}}/api/v1/common/profile/</t>
        </is>
      </c>
      <c r="G82" s="24" t="inlineStr">
        <is>
          <t>{{access_token}} – actor theo TEST_DATA</t>
        </is>
      </c>
      <c r="H82" s="24" t="inlineStr">
        <is>
          <t>Các biến {{...}} trong path phải lấy từ response/seed; xem cột chuẩn bị dữ liệu.</t>
        </is>
      </c>
      <c r="I82" s="24" t="inlineStr">
        <is>
          <t>Không có</t>
        </is>
      </c>
      <c r="J82" s="24" t="inlineStr">
        <is>
          <t>Authorization: Bearer {{access_token}}
Accept: application/json
Content-Type: application/json</t>
        </is>
      </c>
      <c r="K82" s="24" t="inlineStr">
        <is>
          <t>{
  "display_name": "Nguyễn Văn QA",
  "phone": "0901234567",
  "first_name": "Văn",
  "last_name": "Nguyễn",
  "version": "{{profile_version}}"
}</t>
        </is>
      </c>
      <c r="L82"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
4. Dùng Postman Runner/Newman hoặc hai cửa sổ gửi request gần như đồng thời.</t>
        </is>
      </c>
      <c r="M82" s="24" t="inlineStr">
        <is>
          <t>200</t>
        </is>
      </c>
      <c r="N82" s="24" t="inlineStr">
        <is>
          <t>Chỉ một cập nhật thắng; request còn lại nhận conflict/validation</t>
        </is>
      </c>
      <c r="O82" s="24" t="inlineStr">
        <is>
          <t>pm.test('HTTP thuộc [200]', () =&gt; pm.expect([200]).to.include(pm.response.code));
pm.test('Response không lộ secret', () =&gt; { const t=pm.response.text().toLowerCase(); ['password','refresh_token','access_token','otp_code'].forEach(k =&gt; pm.expect(t).not.to.include(k)); });</t>
        </is>
      </c>
      <c r="P82" s="25" t="inlineStr">
        <is>
          <t>Not Run</t>
        </is>
      </c>
      <c r="Q82" s="25" t="inlineStr"/>
      <c r="R82" s="25" t="inlineStr"/>
      <c r="S82" s="25" t="inlineStr"/>
      <c r="T82" s="25" t="inlineStr"/>
      <c r="U82" s="25" t="inlineStr"/>
      <c r="V82" s="24">
        <f>IF(P82="Not Run","Chưa chạy",IF(R82="","Thiếu Tester",IF(S82="","Thiếu Ngày chạy",IF(Q82="","Thiếu Actual Result",IF(AND(P82="Fail",T82=""),"Thiếu Defect ID",IF(AND(OR(P82="Fail",P82="Blocked"),U82=""),"Thiếu Evidence","Hợp lệ"))))))</f>
        <v/>
      </c>
    </row>
    <row r="83" ht="125" customHeight="1">
      <c r="A83" s="24" t="inlineStr">
        <is>
          <t>COM07-11</t>
        </is>
      </c>
      <c r="B83" s="24" t="inlineStr">
        <is>
          <t>COM07-11</t>
        </is>
      </c>
      <c r="C83" s="24" t="inlineStr">
        <is>
          <t>UC-COM-07</t>
        </is>
      </c>
      <c r="D83" s="24" t="inlineStr">
        <is>
          <t>Confirm email challenge của user khác/sai/hết hạn</t>
        </is>
      </c>
      <c r="E83" s="24" t="inlineStr">
        <is>
          <t>POST</t>
        </is>
      </c>
      <c r="F83" s="24" t="inlineStr">
        <is>
          <t>{{base_url}}/api/v1/common/profile/confirm-email/</t>
        </is>
      </c>
      <c r="G83" s="24" t="inlineStr">
        <is>
          <t>{{token_u4}} – U4 chỉ có C1/B1</t>
        </is>
      </c>
      <c r="H83" s="24" t="inlineStr">
        <is>
          <t>Các biến {{...}} trong path phải lấy từ response/seed; xem cột chuẩn bị dữ liệu.</t>
        </is>
      </c>
      <c r="I83" s="24" t="inlineStr">
        <is>
          <t>Không có</t>
        </is>
      </c>
      <c r="J83" s="24" t="inlineStr">
        <is>
          <t>Authorization: Bearer {{access_token}}
Accept: application/json
Content-Type: application/json</t>
        </is>
      </c>
      <c r="K83" s="24" t="inlineStr">
        <is>
          <t>{
  "challenge": "{{email_change_challenge}}",
  "code": "{{otp_code}}"
}</t>
        </is>
      </c>
      <c r="L83"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83" s="24" t="inlineStr">
        <is>
          <t>400, 403</t>
        </is>
      </c>
      <c r="N83" s="24" t="inlineStr">
        <is>
          <t>400/403; email không đổi</t>
        </is>
      </c>
      <c r="O83" s="24" t="inlineStr">
        <is>
          <t>pm.test('HTTP thuộc [400, 403]', () =&gt; pm.expect([400, 403]).to.include(pm.response.code));
pm.test('Response không lộ secret', () =&gt; { const t=pm.response.text().toLowerCase(); ['password','refresh_token','access_token','otp_code'].forEach(k =&gt; pm.expect(t).not.to.include(k)); });</t>
        </is>
      </c>
      <c r="P83" s="25" t="inlineStr">
        <is>
          <t>Not Run</t>
        </is>
      </c>
      <c r="Q83" s="25" t="inlineStr"/>
      <c r="R83" s="25" t="inlineStr"/>
      <c r="S83" s="25" t="inlineStr"/>
      <c r="T83" s="25" t="inlineStr"/>
      <c r="U83" s="25" t="inlineStr"/>
      <c r="V83" s="24">
        <f>IF(P83="Not Run","Chưa chạy",IF(R83="","Thiếu Tester",IF(S83="","Thiếu Ngày chạy",IF(Q83="","Thiếu Actual Result",IF(AND(P83="Fail",T83=""),"Thiếu Defect ID",IF(AND(OR(P83="Fail",P83="Blocked"),U83=""),"Thiếu Evidence","Hợp lệ"))))))</f>
        <v/>
      </c>
    </row>
    <row r="84" ht="125" customHeight="1">
      <c r="A84" s="24" t="inlineStr">
        <is>
          <t>COM07-12</t>
        </is>
      </c>
      <c r="B84" s="24" t="inlineStr">
        <is>
          <t>COM07-12</t>
        </is>
      </c>
      <c r="C84" s="24" t="inlineStr">
        <is>
          <t>UC-COM-07</t>
        </is>
      </c>
      <c r="D84" s="24" t="inlineStr">
        <is>
          <t>Confirm đổi email hợp lệ</t>
        </is>
      </c>
      <c r="E84" s="24" t="inlineStr">
        <is>
          <t>POST</t>
        </is>
      </c>
      <c r="F84" s="24" t="inlineStr">
        <is>
          <t>{{base_url}}/api/v1/common/profile/confirm-email/</t>
        </is>
      </c>
      <c r="G84" s="24" t="inlineStr">
        <is>
          <t>{{access_token}} – actor theo TEST_DATA</t>
        </is>
      </c>
      <c r="H84" s="24" t="inlineStr">
        <is>
          <t>Các biến {{...}} trong path phải lấy từ response/seed; xem cột chuẩn bị dữ liệu.</t>
        </is>
      </c>
      <c r="I84" s="24" t="inlineStr">
        <is>
          <t>Không có</t>
        </is>
      </c>
      <c r="J84" s="24" t="inlineStr">
        <is>
          <t>Authorization: Bearer {{access_token}}
Accept: application/json
Content-Type: application/json</t>
        </is>
      </c>
      <c r="K84" s="24" t="inlineStr">
        <is>
          <t>{
  "challenge": "{{email_change_challenge}}",
  "code": "{{otp_code}}"
}</t>
        </is>
      </c>
      <c r="L84"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84" s="24" t="inlineStr">
        <is>
          <t>200</t>
        </is>
      </c>
      <c r="N84" s="24" t="inlineStr">
        <is>
          <t>Email và normalized_email cập nhật nguyên tử; email trùng bị từ chối</t>
        </is>
      </c>
      <c r="O84" s="24" t="inlineStr">
        <is>
          <t>pm.test('HTTP thuộc [200]', () =&gt; pm.expect([200]).to.include(pm.response.code));
pm.test('Response không lộ secret', () =&gt; { const t=pm.response.text().toLowerCase(); ['password','refresh_token','access_token','otp_code'].forEach(k =&gt; pm.expect(t).not.to.include(k)); });</t>
        </is>
      </c>
      <c r="P84" s="25" t="inlineStr">
        <is>
          <t>Not Run</t>
        </is>
      </c>
      <c r="Q84" s="25" t="inlineStr"/>
      <c r="R84" s="25" t="inlineStr"/>
      <c r="S84" s="25" t="inlineStr"/>
      <c r="T84" s="25" t="inlineStr"/>
      <c r="U84" s="25" t="inlineStr"/>
      <c r="V84" s="24">
        <f>IF(P84="Not Run","Chưa chạy",IF(R84="","Thiếu Tester",IF(S84="","Thiếu Ngày chạy",IF(Q84="","Thiếu Actual Result",IF(AND(P84="Fail",T84=""),"Thiếu Defect ID",IF(AND(OR(P84="Fail",P84="Blocked"),U84=""),"Thiếu Evidence","Hợp lệ"))))))</f>
        <v/>
      </c>
    </row>
    <row r="85" ht="125" customHeight="1">
      <c r="A85" s="24" t="inlineStr">
        <is>
          <t>COM08-01</t>
        </is>
      </c>
      <c r="B85" s="24" t="inlineStr">
        <is>
          <t>COM08-01</t>
        </is>
      </c>
      <c r="C85" s="24" t="inlineStr">
        <is>
          <t>UC-COM-08</t>
        </is>
      </c>
      <c r="D85" s="24" t="inlineStr">
        <is>
          <t>GET scopes của user có nhiều membership</t>
        </is>
      </c>
      <c r="E85" s="24" t="inlineStr">
        <is>
          <t>GET</t>
        </is>
      </c>
      <c r="F85" s="24" t="inlineStr">
        <is>
          <t>{{base_url}}/api/v1/common/scopes/</t>
        </is>
      </c>
      <c r="G85" s="24" t="inlineStr">
        <is>
          <t>{{access_token}} – actor theo TEST_DATA</t>
        </is>
      </c>
      <c r="H85" s="24" t="inlineStr">
        <is>
          <t>Các biến {{...}} trong path phải lấy từ response/seed; xem cột chuẩn bị dữ liệu.</t>
        </is>
      </c>
      <c r="I85" s="24" t="inlineStr">
        <is>
          <t>Không có</t>
        </is>
      </c>
      <c r="J85" s="24" t="inlineStr">
        <is>
          <t>Authorization: Bearer {{access_token}}
Accept: application/json
Content-Type: application/json</t>
        </is>
      </c>
      <c r="K85" s="24" t="inlineStr">
        <is>
          <t>Không có body</t>
        </is>
      </c>
      <c r="L85"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85" s="24" t="inlineStr">
        <is>
          <t>200</t>
        </is>
      </c>
      <c r="N85" s="24" t="inlineStr">
        <is>
          <t>Chỉ trả company/membership ACTIVE và branch ACTIVE trong Data Scope</t>
        </is>
      </c>
      <c r="O85" s="24" t="inlineStr">
        <is>
          <t>pm.test('HTTP thuộc [200]', () =&gt; pm.expect([200]).to.include(pm.response.code));
pm.test('Response không lộ secret', () =&gt; { const t=pm.response.text().toLowerCase(); ['password','refresh_token','access_token','otp_code'].forEach(k =&gt; pm.expect(t).not.to.include(k)); });</t>
        </is>
      </c>
      <c r="P85" s="25" t="inlineStr">
        <is>
          <t>Not Run</t>
        </is>
      </c>
      <c r="Q85" s="25" t="inlineStr"/>
      <c r="R85" s="25" t="inlineStr"/>
      <c r="S85" s="25" t="inlineStr"/>
      <c r="T85" s="25" t="inlineStr"/>
      <c r="U85" s="25" t="inlineStr"/>
      <c r="V85" s="24">
        <f>IF(P85="Not Run","Chưa chạy",IF(R85="","Thiếu Tester",IF(S85="","Thiếu Ngày chạy",IF(Q85="","Thiếu Actual Result",IF(AND(P85="Fail",T85=""),"Thiếu Defect ID",IF(AND(OR(P85="Fail",P85="Blocked"),U85=""),"Thiếu Evidence","Hợp lệ"))))))</f>
        <v/>
      </c>
    </row>
    <row r="86" ht="125" customHeight="1">
      <c r="A86" s="24" t="inlineStr">
        <is>
          <t>COM08-02</t>
        </is>
      </c>
      <c r="B86" s="24" t="inlineStr">
        <is>
          <t>COM08-02</t>
        </is>
      </c>
      <c r="C86" s="24" t="inlineStr">
        <is>
          <t>UC-COM-08</t>
        </is>
      </c>
      <c r="D86" s="24" t="inlineStr">
        <is>
          <t>User có scope toàn doanh nghiệp chọn all_branches=true</t>
        </is>
      </c>
      <c r="E86" s="24" t="inlineStr">
        <is>
          <t>POST</t>
        </is>
      </c>
      <c r="F86" s="24" t="inlineStr">
        <is>
          <t>{{base_url}}/api/v1/common/companies/switch/</t>
        </is>
      </c>
      <c r="G86" s="24" t="inlineStr">
        <is>
          <t>{{access_token}} – actor theo TEST_DATA</t>
        </is>
      </c>
      <c r="H86" s="24" t="inlineStr">
        <is>
          <t>Các biến {{...}} trong path phải lấy từ response/seed; xem cột chuẩn bị dữ liệu.</t>
        </is>
      </c>
      <c r="I86" s="24" t="inlineStr">
        <is>
          <t>Không có</t>
        </is>
      </c>
      <c r="J86" s="24" t="inlineStr">
        <is>
          <t>Authorization: Bearer {{access_token}}
Accept: application/json
Content-Type: application/json</t>
        </is>
      </c>
      <c r="K86" s="24" t="inlineStr">
        <is>
          <t>{
  "company": "{{c1_id}}",
  "branch": "{{b1_id}}",
  "all_branches": false,
  "confirm_discard": true
}</t>
        </is>
      </c>
      <c r="L86"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86" s="24" t="inlineStr">
        <is>
          <t>200</t>
        </is>
      </c>
      <c r="N86" s="24" t="inlineStr">
        <is>
          <t>Cập nhật preference company, branch null, all_branches true; ghi audit</t>
        </is>
      </c>
      <c r="O86" s="24" t="inlineStr">
        <is>
          <t>pm.test('HTTP thuộc [200]', () =&gt; pm.expect([200]).to.include(pm.response.code));
pm.test('Response không lộ secret', () =&gt; { const t=pm.response.text().toLowerCase(); ['password','refresh_token','access_token','otp_code'].forEach(k =&gt; pm.expect(t).not.to.include(k)); });</t>
        </is>
      </c>
      <c r="P86" s="25" t="inlineStr">
        <is>
          <t>Not Run</t>
        </is>
      </c>
      <c r="Q86" s="25" t="inlineStr"/>
      <c r="R86" s="25" t="inlineStr"/>
      <c r="S86" s="25" t="inlineStr"/>
      <c r="T86" s="25" t="inlineStr"/>
      <c r="U86" s="25" t="inlineStr"/>
      <c r="V86" s="24">
        <f>IF(P86="Not Run","Chưa chạy",IF(R86="","Thiếu Tester",IF(S86="","Thiếu Ngày chạy",IF(Q86="","Thiếu Actual Result",IF(AND(P86="Fail",T86=""),"Thiếu Defect ID",IF(AND(OR(P86="Fail",P86="Blocked"),U86=""),"Thiếu Evidence","Hợp lệ"))))))</f>
        <v/>
      </c>
    </row>
    <row r="87" ht="125" customHeight="1">
      <c r="A87" s="24" t="inlineStr">
        <is>
          <t>COM08-03</t>
        </is>
      </c>
      <c r="B87" s="24" t="inlineStr">
        <is>
          <t>COM08-03</t>
        </is>
      </c>
      <c r="C87" s="24" t="inlineStr">
        <is>
          <t>UC-COM-08</t>
        </is>
      </c>
      <c r="D87" s="24" t="inlineStr">
        <is>
          <t>User không có scope toàn doanh nghiệp chọn all branches</t>
        </is>
      </c>
      <c r="E87" s="24" t="inlineStr">
        <is>
          <t>POST</t>
        </is>
      </c>
      <c r="F87" s="24" t="inlineStr">
        <is>
          <t>{{base_url}}/api/v1/common/companies/switch/</t>
        </is>
      </c>
      <c r="G87" s="24" t="inlineStr">
        <is>
          <t>{{access_token}} – actor theo TEST_DATA</t>
        </is>
      </c>
      <c r="H87" s="24" t="inlineStr">
        <is>
          <t>Các biến {{...}} trong path phải lấy từ response/seed; xem cột chuẩn bị dữ liệu.</t>
        </is>
      </c>
      <c r="I87" s="24" t="inlineStr">
        <is>
          <t>Không có</t>
        </is>
      </c>
      <c r="J87" s="24" t="inlineStr">
        <is>
          <t>Authorization: Bearer {{access_token}}
Accept: application/json
Content-Type: application/json</t>
        </is>
      </c>
      <c r="K87" s="24" t="inlineStr">
        <is>
          <t>{
  "company": "{{c1_id}}",
  "branch": "{{b1_id}}",
  "all_branches": false,
  "confirm_discard": true
}</t>
        </is>
      </c>
      <c r="L87"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87" s="24" t="inlineStr">
        <is>
          <t>403</t>
        </is>
      </c>
      <c r="N87" s="24" t="inlineStr">
        <is>
          <t>403; preference cũ giữ nguyên</t>
        </is>
      </c>
      <c r="O87" s="24" t="inlineStr">
        <is>
          <t>pm.test('HTTP thuộc [403]', () =&gt; pm.expect([403]).to.include(pm.response.code));
pm.test('Response không lộ secret', () =&gt; { const t=pm.response.text().toLowerCase(); ['password','refresh_token','access_token','otp_code'].forEach(k =&gt; pm.expect(t).not.to.include(k)); });</t>
        </is>
      </c>
      <c r="P87" s="25" t="inlineStr">
        <is>
          <t>Not Run</t>
        </is>
      </c>
      <c r="Q87" s="25" t="inlineStr"/>
      <c r="R87" s="25" t="inlineStr"/>
      <c r="S87" s="25" t="inlineStr"/>
      <c r="T87" s="25" t="inlineStr"/>
      <c r="U87" s="25" t="inlineStr"/>
      <c r="V87" s="24">
        <f>IF(P87="Not Run","Chưa chạy",IF(R87="","Thiếu Tester",IF(S87="","Thiếu Ngày chạy",IF(Q87="","Thiếu Actual Result",IF(AND(P87="Fail",T87=""),"Thiếu Defect ID",IF(AND(OR(P87="Fail",P87="Blocked"),U87=""),"Thiếu Evidence","Hợp lệ"))))))</f>
        <v/>
      </c>
    </row>
    <row r="88" ht="125" customHeight="1">
      <c r="A88" s="24" t="inlineStr">
        <is>
          <t>COM08-04</t>
        </is>
      </c>
      <c r="B88" s="24" t="inlineStr">
        <is>
          <t>COM08-04</t>
        </is>
      </c>
      <c r="C88" s="24" t="inlineStr">
        <is>
          <t>UC-COM-08</t>
        </is>
      </c>
      <c r="D88" s="24" t="inlineStr">
        <is>
          <t>Chọn branch thuộc company nhưng ngoài Data Scope</t>
        </is>
      </c>
      <c r="E88" s="24" t="inlineStr">
        <is>
          <t>POST</t>
        </is>
      </c>
      <c r="F88" s="24" t="inlineStr">
        <is>
          <t>{{base_url}}/api/v1/common/companies/switch/</t>
        </is>
      </c>
      <c r="G88" s="24" t="inlineStr">
        <is>
          <t>{{access_token}} – actor theo TEST_DATA</t>
        </is>
      </c>
      <c r="H88" s="24" t="inlineStr">
        <is>
          <t>Các biến {{...}} trong path phải lấy từ response/seed; xem cột chuẩn bị dữ liệu.</t>
        </is>
      </c>
      <c r="I88" s="24" t="inlineStr">
        <is>
          <t>Không có</t>
        </is>
      </c>
      <c r="J88" s="24" t="inlineStr">
        <is>
          <t>Authorization: Bearer {{access_token}}
Accept: application/json
Content-Type: application/json</t>
        </is>
      </c>
      <c r="K88" s="24" t="inlineStr">
        <is>
          <t>{
  "company": "{{c1_id}}",
  "branch": "{{b1_id}}",
  "all_branches": false,
  "confirm_discard": true
}</t>
        </is>
      </c>
      <c r="L88"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88" s="24" t="inlineStr">
        <is>
          <t>403</t>
        </is>
      </c>
      <c r="N88" s="24" t="inlineStr">
        <is>
          <t>403; không chuyển phạm vi</t>
        </is>
      </c>
      <c r="O88" s="24" t="inlineStr">
        <is>
          <t>pm.test('HTTP thuộc [403]', () =&gt; pm.expect([403]).to.include(pm.response.code));
pm.test('Response không lộ secret', () =&gt; { const t=pm.response.text().toLowerCase(); ['password','refresh_token','access_token','otp_code'].forEach(k =&gt; pm.expect(t).not.to.include(k)); });</t>
        </is>
      </c>
      <c r="P88" s="25" t="inlineStr">
        <is>
          <t>Not Run</t>
        </is>
      </c>
      <c r="Q88" s="25" t="inlineStr"/>
      <c r="R88" s="25" t="inlineStr"/>
      <c r="S88" s="25" t="inlineStr"/>
      <c r="T88" s="25" t="inlineStr"/>
      <c r="U88" s="25" t="inlineStr"/>
      <c r="V88" s="24">
        <f>IF(P88="Not Run","Chưa chạy",IF(R88="","Thiếu Tester",IF(S88="","Thiếu Ngày chạy",IF(Q88="","Thiếu Actual Result",IF(AND(P88="Fail",T88=""),"Thiếu Defect ID",IF(AND(OR(P88="Fail",P88="Blocked"),U88=""),"Thiếu Evidence","Hợp lệ"))))))</f>
        <v/>
      </c>
    </row>
    <row r="89" ht="125" customHeight="1">
      <c r="A89" s="24" t="inlineStr">
        <is>
          <t>COM08-05</t>
        </is>
      </c>
      <c r="B89" s="24" t="inlineStr">
        <is>
          <t>COM08-05</t>
        </is>
      </c>
      <c r="C89" s="24" t="inlineStr">
        <is>
          <t>UC-COM-08</t>
        </is>
      </c>
      <c r="D89" s="24" t="inlineStr">
        <is>
          <t>Chọn branch của C2 khi company=C1</t>
        </is>
      </c>
      <c r="E89" s="24" t="inlineStr">
        <is>
          <t>POST</t>
        </is>
      </c>
      <c r="F89" s="24" t="inlineStr">
        <is>
          <t>{{base_url}}/api/v1/common/companies/switch/</t>
        </is>
      </c>
      <c r="G89" s="24" t="inlineStr">
        <is>
          <t>{{token_u4}} – U4 chỉ có C1/B1</t>
        </is>
      </c>
      <c r="H89" s="24" t="inlineStr">
        <is>
          <t>Các biến {{...}} trong path phải lấy từ response/seed; xem cột chuẩn bị dữ liệu.</t>
        </is>
      </c>
      <c r="I89" s="24" t="inlineStr">
        <is>
          <t>Không có</t>
        </is>
      </c>
      <c r="J89" s="24" t="inlineStr">
        <is>
          <t>Authorization: Bearer {{access_token}}
Accept: application/json
Content-Type: application/json</t>
        </is>
      </c>
      <c r="K89" s="24" t="inlineStr">
        <is>
          <t>{
  "company": "{{c1_id}}",
  "branch": "{{b1_id}}",
  "all_branches": false,
  "confirm_discard": true
}</t>
        </is>
      </c>
      <c r="L89"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89" s="24" t="inlineStr">
        <is>
          <t>403, 404</t>
        </is>
      </c>
      <c r="N89" s="24" t="inlineStr">
        <is>
          <t>403/404; không lộ dữ liệu C2</t>
        </is>
      </c>
      <c r="O89" s="24" t="inlineStr">
        <is>
          <t>pm.test('HTTP thuộc [403, 404]', () =&gt; pm.expect([403, 404]).to.include(pm.response.code));
pm.test('Response không lộ secret', () =&gt; { const t=pm.response.text().toLowerCase(); ['password','refresh_token','access_token','otp_code'].forEach(k =&gt; pm.expect(t).not.to.include(k)); });</t>
        </is>
      </c>
      <c r="P89" s="25" t="inlineStr">
        <is>
          <t>Not Run</t>
        </is>
      </c>
      <c r="Q89" s="25" t="inlineStr"/>
      <c r="R89" s="25" t="inlineStr"/>
      <c r="S89" s="25" t="inlineStr"/>
      <c r="T89" s="25" t="inlineStr"/>
      <c r="U89" s="25" t="inlineStr"/>
      <c r="V89" s="24">
        <f>IF(P89="Not Run","Chưa chạy",IF(R89="","Thiếu Tester",IF(S89="","Thiếu Ngày chạy",IF(Q89="","Thiếu Actual Result",IF(AND(P89="Fail",T89=""),"Thiếu Defect ID",IF(AND(OR(P89="Fail",P89="Blocked"),U89=""),"Thiếu Evidence","Hợp lệ"))))))</f>
        <v/>
      </c>
    </row>
    <row r="90" ht="125" customHeight="1">
      <c r="A90" s="24" t="inlineStr">
        <is>
          <t>COM08-06</t>
        </is>
      </c>
      <c r="B90" s="24" t="inlineStr">
        <is>
          <t>COM08-06</t>
        </is>
      </c>
      <c r="C90" s="24" t="inlineStr">
        <is>
          <t>UC-COM-08</t>
        </is>
      </c>
      <c r="D90" s="24" t="inlineStr">
        <is>
          <t>Không truyền branch khi chỉ có một branch được phép</t>
        </is>
      </c>
      <c r="E90" s="24" t="inlineStr">
        <is>
          <t>POST</t>
        </is>
      </c>
      <c r="F90" s="24" t="inlineStr">
        <is>
          <t>{{base_url}}/api/v1/common/companies/switch/</t>
        </is>
      </c>
      <c r="G90" s="24" t="inlineStr">
        <is>
          <t>{{access_token}} – actor theo TEST_DATA</t>
        </is>
      </c>
      <c r="H90" s="24" t="inlineStr">
        <is>
          <t>Các biến {{...}} trong path phải lấy từ response/seed; xem cột chuẩn bị dữ liệu.</t>
        </is>
      </c>
      <c r="I90" s="24" t="inlineStr">
        <is>
          <t>Không có</t>
        </is>
      </c>
      <c r="J90" s="24" t="inlineStr">
        <is>
          <t>Authorization: Bearer {{access_token}}
Accept: application/json
Content-Type: application/json</t>
        </is>
      </c>
      <c r="K90" s="24" t="inlineStr">
        <is>
          <t>{
  "company": "{{c1_id}}",
  "branch": "{{b1_id}}",
  "all_branches": false,
  "confirm_discard": true
}</t>
        </is>
      </c>
      <c r="L90"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90" s="24" t="inlineStr">
        <is>
          <t>200</t>
        </is>
      </c>
      <c r="N90" s="24" t="inlineStr">
        <is>
          <t>Tự chọn branch duy nhất</t>
        </is>
      </c>
      <c r="O90" s="24" t="inlineStr">
        <is>
          <t>pm.test('HTTP thuộc [200]', () =&gt; pm.expect([200]).to.include(pm.response.code));
pm.test('Response không lộ secret', () =&gt; { const t=pm.response.text().toLowerCase(); ['password','refresh_token','access_token','otp_code'].forEach(k =&gt; pm.expect(t).not.to.include(k)); });</t>
        </is>
      </c>
      <c r="P90" s="25" t="inlineStr">
        <is>
          <t>Not Run</t>
        </is>
      </c>
      <c r="Q90" s="25" t="inlineStr"/>
      <c r="R90" s="25" t="inlineStr"/>
      <c r="S90" s="25" t="inlineStr"/>
      <c r="T90" s="25" t="inlineStr"/>
      <c r="U90" s="25" t="inlineStr"/>
      <c r="V90" s="24">
        <f>IF(P90="Not Run","Chưa chạy",IF(R90="","Thiếu Tester",IF(S90="","Thiếu Ngày chạy",IF(Q90="","Thiếu Actual Result",IF(AND(P90="Fail",T90=""),"Thiếu Defect ID",IF(AND(OR(P90="Fail",P90="Blocked"),U90=""),"Thiếu Evidence","Hợp lệ"))))))</f>
        <v/>
      </c>
    </row>
    <row r="91" ht="125" customHeight="1">
      <c r="A91" s="24" t="inlineStr">
        <is>
          <t>COM08-07</t>
        </is>
      </c>
      <c r="B91" s="24" t="inlineStr">
        <is>
          <t>COM08-07</t>
        </is>
      </c>
      <c r="C91" s="24" t="inlineStr">
        <is>
          <t>UC-COM-08</t>
        </is>
      </c>
      <c r="D91" s="24" t="inlineStr">
        <is>
          <t>Không truyền branch/all_branches khi có nhiều branch</t>
        </is>
      </c>
      <c r="E91" s="24" t="inlineStr">
        <is>
          <t>POST</t>
        </is>
      </c>
      <c r="F91" s="24" t="inlineStr">
        <is>
          <t>{{base_url}}/api/v1/common/companies/switch/</t>
        </is>
      </c>
      <c r="G91" s="24" t="inlineStr">
        <is>
          <t>{{access_token}} – actor theo TEST_DATA</t>
        </is>
      </c>
      <c r="H91" s="24" t="inlineStr">
        <is>
          <t>Các biến {{...}} trong path phải lấy từ response/seed; xem cột chuẩn bị dữ liệu.</t>
        </is>
      </c>
      <c r="I91" s="24" t="inlineStr">
        <is>
          <t>Không có</t>
        </is>
      </c>
      <c r="J91" s="24" t="inlineStr">
        <is>
          <t>Authorization: Bearer {{access_token}}
Accept: application/json
Content-Type: application/json</t>
        </is>
      </c>
      <c r="K91" s="24" t="inlineStr">
        <is>
          <t>{
  "company": "{{c1_id}}",
  "branch": "{{b1_id}}",
  "all_branches": false,
  "confirm_discard": true
}</t>
        </is>
      </c>
      <c r="L91"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91" s="24" t="inlineStr">
        <is>
          <t>400</t>
        </is>
      </c>
      <c r="N91" s="24" t="inlineStr">
        <is>
          <t>400, yêu cầu lựa chọn rõ ràng</t>
        </is>
      </c>
      <c r="O91" s="24" t="inlineStr">
        <is>
          <t>pm.test('HTTP thuộc [400]', () =&gt; pm.expect([400]).to.include(pm.response.code));
pm.test('Response không lộ secret', () =&gt; { const t=pm.response.text().toLowerCase(); ['password','refresh_token','access_token','otp_code'].forEach(k =&gt; pm.expect(t).not.to.include(k)); });</t>
        </is>
      </c>
      <c r="P91" s="25" t="inlineStr">
        <is>
          <t>Not Run</t>
        </is>
      </c>
      <c r="Q91" s="25" t="inlineStr"/>
      <c r="R91" s="25" t="inlineStr"/>
      <c r="S91" s="25" t="inlineStr"/>
      <c r="T91" s="25" t="inlineStr"/>
      <c r="U91" s="25" t="inlineStr"/>
      <c r="V91" s="24">
        <f>IF(P91="Not Run","Chưa chạy",IF(R91="","Thiếu Tester",IF(S91="","Thiếu Ngày chạy",IF(Q91="","Thiếu Actual Result",IF(AND(P91="Fail",T91=""),"Thiếu Defect ID",IF(AND(OR(P91="Fail",P91="Blocked"),U91=""),"Thiếu Evidence","Hợp lệ"))))))</f>
        <v/>
      </c>
    </row>
    <row r="92" ht="125" customHeight="1">
      <c r="A92" s="24" t="inlineStr">
        <is>
          <t>COM08-08</t>
        </is>
      </c>
      <c r="B92" s="24" t="inlineStr">
        <is>
          <t>COM08-08</t>
        </is>
      </c>
      <c r="C92" s="24" t="inlineStr">
        <is>
          <t>UC-COM-08</t>
        </is>
      </c>
      <c r="D92" s="24" t="inlineStr">
        <is>
          <t>Membership/company/branch INACTIVE</t>
        </is>
      </c>
      <c r="E92" s="24" t="inlineStr">
        <is>
          <t>POST</t>
        </is>
      </c>
      <c r="F92" s="24" t="inlineStr">
        <is>
          <t>{{base_url}}/api/v1/common/companies/switch/</t>
        </is>
      </c>
      <c r="G92" s="24" t="inlineStr">
        <is>
          <t>{{access_token}} – actor theo TEST_DATA</t>
        </is>
      </c>
      <c r="H92" s="24" t="inlineStr">
        <is>
          <t>Các biến {{...}} trong path phải lấy từ response/seed; xem cột chuẩn bị dữ liệu.</t>
        </is>
      </c>
      <c r="I92" s="24" t="inlineStr">
        <is>
          <t>Không có</t>
        </is>
      </c>
      <c r="J92" s="24" t="inlineStr">
        <is>
          <t>Authorization: Bearer {{access_token}}
Accept: application/json
Content-Type: application/json</t>
        </is>
      </c>
      <c r="K92" s="24" t="inlineStr">
        <is>
          <t>{
  "company": "{{c1_id}}",
  "branch": "{{b1_id}}",
  "all_branches": false,
  "confirm_discard": true
}</t>
        </is>
      </c>
      <c r="L92"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92" s="24" t="inlineStr">
        <is>
          <t>400, 403, 404</t>
        </is>
      </c>
      <c r="N92" s="24" t="inlineStr">
        <is>
          <t>403/404/400; không cập nhật preference</t>
        </is>
      </c>
      <c r="O92" s="24" t="inlineStr">
        <is>
          <t>pm.test('HTTP thuộc [400, 403, 404]', () =&gt; pm.expect([400, 403, 404]).to.include(pm.response.code));
pm.test('Response không lộ secret', () =&gt; { const t=pm.response.text().toLowerCase(); ['password','refresh_token','access_token','otp_code'].forEach(k =&gt; pm.expect(t).not.to.include(k)); });</t>
        </is>
      </c>
      <c r="P92" s="25" t="inlineStr">
        <is>
          <t>Not Run</t>
        </is>
      </c>
      <c r="Q92" s="25" t="inlineStr"/>
      <c r="R92" s="25" t="inlineStr"/>
      <c r="S92" s="25" t="inlineStr"/>
      <c r="T92" s="25" t="inlineStr"/>
      <c r="U92" s="25" t="inlineStr"/>
      <c r="V92" s="24">
        <f>IF(P92="Not Run","Chưa chạy",IF(R92="","Thiếu Tester",IF(S92="","Thiếu Ngày chạy",IF(Q92="","Thiếu Actual Result",IF(AND(P92="Fail",T92=""),"Thiếu Defect ID",IF(AND(OR(P92="Fail",P92="Blocked"),U92=""),"Thiếu Evidence","Hợp lệ"))))))</f>
        <v/>
      </c>
    </row>
    <row r="93" ht="125" customHeight="1">
      <c r="A93" s="24" t="inlineStr">
        <is>
          <t>COM08-09</t>
        </is>
      </c>
      <c r="B93" s="24" t="inlineStr">
        <is>
          <t>COM08-09</t>
        </is>
      </c>
      <c r="C93" s="24" t="inlineStr">
        <is>
          <t>UC-COM-08</t>
        </is>
      </c>
      <c r="D93" s="24" t="inlineStr">
        <is>
          <t>Chuyển qua lại C1/B1 → C2/Bx</t>
        </is>
      </c>
      <c r="E93" s="24" t="inlineStr">
        <is>
          <t>POST</t>
        </is>
      </c>
      <c r="F93" s="24" t="inlineStr">
        <is>
          <t>{{base_url}}/api/v1/common/companies/switch/</t>
        </is>
      </c>
      <c r="G93" s="24" t="inlineStr">
        <is>
          <t>{{token_u4}} – U4 chỉ có C1/B1</t>
        </is>
      </c>
      <c r="H93" s="24" t="inlineStr">
        <is>
          <t>Các biến {{...}} trong path phải lấy từ response/seed; xem cột chuẩn bị dữ liệu.</t>
        </is>
      </c>
      <c r="I93" s="24" t="inlineStr">
        <is>
          <t>Không có</t>
        </is>
      </c>
      <c r="J93" s="24" t="inlineStr">
        <is>
          <t>Authorization: Bearer {{access_token}}
Accept: application/json
Content-Type: application/json</t>
        </is>
      </c>
      <c r="K93" s="24" t="inlineStr">
        <is>
          <t>{
  "company": "{{c1_id}}",
  "branch": "{{b1_id}}",
  "all_branches": false,
  "confirm_discard": true
}</t>
        </is>
      </c>
      <c r="L93"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93" s="24" t="inlineStr">
        <is>
          <t>200</t>
        </is>
      </c>
      <c r="N93" s="24" t="inlineStr">
        <is>
          <t>Context sau cùng chính xác; API sau đó mặc định dùng current company/scope mới</t>
        </is>
      </c>
      <c r="O93" s="24" t="inlineStr">
        <is>
          <t>pm.test('HTTP thuộc [200]', () =&gt; pm.expect([200]).to.include(pm.response.code));
pm.test('Response không lộ secret', () =&gt; { const t=pm.response.text().toLowerCase(); ['password','refresh_token','access_token','otp_code'].forEach(k =&gt; pm.expect(t).not.to.include(k)); });</t>
        </is>
      </c>
      <c r="P93" s="25" t="inlineStr">
        <is>
          <t>Not Run</t>
        </is>
      </c>
      <c r="Q93" s="25" t="inlineStr"/>
      <c r="R93" s="25" t="inlineStr"/>
      <c r="S93" s="25" t="inlineStr"/>
      <c r="T93" s="25" t="inlineStr"/>
      <c r="U93" s="25" t="inlineStr"/>
      <c r="V93" s="24">
        <f>IF(P93="Not Run","Chưa chạy",IF(R93="","Thiếu Tester",IF(S93="","Thiếu Ngày chạy",IF(Q93="","Thiếu Actual Result",IF(AND(P93="Fail",T93=""),"Thiếu Defect ID",IF(AND(OR(P93="Fail",P93="Blocked"),U93=""),"Thiếu Evidence","Hợp lệ"))))))</f>
        <v/>
      </c>
    </row>
    <row r="94" ht="125" customHeight="1">
      <c r="A94" s="24" t="inlineStr">
        <is>
          <t>COM08-10</t>
        </is>
      </c>
      <c r="B94" s="24" t="inlineStr">
        <is>
          <t>COM08-10</t>
        </is>
      </c>
      <c r="C94" s="24" t="inlineStr">
        <is>
          <t>UC-COM-08</t>
        </is>
      </c>
      <c r="D94" s="24" t="inlineStr">
        <is>
          <t>Có dữ liệu UI chưa lưu và confirm_discard=false/true</t>
        </is>
      </c>
      <c r="E94" s="24" t="inlineStr">
        <is>
          <t>POST</t>
        </is>
      </c>
      <c r="F94" s="24" t="inlineStr">
        <is>
          <t>{{base_url}}/api/v1/common/companies/switch/</t>
        </is>
      </c>
      <c r="G94" s="24" t="inlineStr">
        <is>
          <t>{{access_token}} – actor theo TEST_DATA</t>
        </is>
      </c>
      <c r="H94" s="24" t="inlineStr">
        <is>
          <t>Các biến {{...}} trong path phải lấy từ response/seed; xem cột chuẩn bị dữ liệu.</t>
        </is>
      </c>
      <c r="I94" s="24" t="inlineStr">
        <is>
          <t>Không có</t>
        </is>
      </c>
      <c r="J94" s="24" t="inlineStr">
        <is>
          <t>Authorization: Bearer {{access_token}}
Accept: application/json
Content-Type: application/json</t>
        </is>
      </c>
      <c r="K94" s="24" t="inlineStr">
        <is>
          <t>{
  "company": "{{c1_id}}",
  "branch": "{{b1_id}}",
  "all_branches": false,
  "confirm_discard": true
}</t>
        </is>
      </c>
      <c r="L94"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94" s="24" t="inlineStr">
        <is>
          <t>200</t>
        </is>
      </c>
      <c r="N94" s="24" t="inlineStr">
        <is>
          <t>UI cảnh báo; chỉ chuyển khi xác nhận theo acceptance criteria đã duyệt</t>
        </is>
      </c>
      <c r="O94" s="24" t="inlineStr">
        <is>
          <t>pm.test('HTTP thuộc [200]', () =&gt; pm.expect([200]).to.include(pm.response.code));
pm.test('Response không lộ secret', () =&gt; { const t=pm.response.text().toLowerCase(); ['password','refresh_token','access_token','otp_code'].forEach(k =&gt; pm.expect(t).not.to.include(k)); });</t>
        </is>
      </c>
      <c r="P94" s="25" t="inlineStr">
        <is>
          <t>Not Run</t>
        </is>
      </c>
      <c r="Q94" s="25" t="inlineStr"/>
      <c r="R94" s="25" t="inlineStr"/>
      <c r="S94" s="25" t="inlineStr"/>
      <c r="T94" s="25" t="inlineStr"/>
      <c r="U94" s="25" t="inlineStr"/>
      <c r="V94" s="24">
        <f>IF(P94="Not Run","Chưa chạy",IF(R94="","Thiếu Tester",IF(S94="","Thiếu Ngày chạy",IF(Q94="","Thiếu Actual Result",IF(AND(P94="Fail",T94=""),"Thiếu Defect ID",IF(AND(OR(P94="Fail",P94="Blocked"),U94=""),"Thiếu Evidence","Hợp lệ"))))))</f>
        <v/>
      </c>
    </row>
    <row r="95" ht="125" customHeight="1">
      <c r="A95" s="24" t="inlineStr">
        <is>
          <t>COM08-11</t>
        </is>
      </c>
      <c r="B95" s="24" t="inlineStr">
        <is>
          <t>COM08-11</t>
        </is>
      </c>
      <c r="C95" s="24" t="inlineStr">
        <is>
          <t>UC-COM-08</t>
        </is>
      </c>
      <c r="D95" s="24" t="inlineStr">
        <is>
          <t>Permission/Data Scope bị thu hồi sau khi đã chọn scope</t>
        </is>
      </c>
      <c r="E95" s="24" t="inlineStr">
        <is>
          <t>GET</t>
        </is>
      </c>
      <c r="F95" s="24" t="inlineStr">
        <is>
          <t>{{base_url}}/api/v1/common/scopes/</t>
        </is>
      </c>
      <c r="G95" s="24" t="inlineStr">
        <is>
          <t>{{access_token}} – actor theo TEST_DATA</t>
        </is>
      </c>
      <c r="H95" s="24" t="inlineStr">
        <is>
          <t>Các biến {{...}} trong path phải lấy từ response/seed; xem cột chuẩn bị dữ liệu.</t>
        </is>
      </c>
      <c r="I95" s="24" t="inlineStr">
        <is>
          <t>Không có</t>
        </is>
      </c>
      <c r="J95" s="24" t="inlineStr">
        <is>
          <t>Authorization: Bearer {{access_token}}
Accept: application/json
Content-Type: application/json</t>
        </is>
      </c>
      <c r="K95" s="24" t="inlineStr">
        <is>
          <t>Không có body</t>
        </is>
      </c>
      <c r="L95"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95" s="24" t="inlineStr">
        <is>
          <t>200</t>
        </is>
      </c>
      <c r="N95" s="24" t="inlineStr">
        <is>
          <t>Các request tiếp theo bị chặn hoặc yêu cầu chọn lại; không dựa vào preference cũ để cấp quyền</t>
        </is>
      </c>
      <c r="O95" s="24" t="inlineStr">
        <is>
          <t>pm.test('HTTP thuộc [200]', () =&gt; pm.expect([200]).to.include(pm.response.code));
pm.test('Response không lộ secret', () =&gt; { const t=pm.response.text().toLowerCase(); ['password','refresh_token','access_token','otp_code'].forEach(k =&gt; pm.expect(t).not.to.include(k)); });</t>
        </is>
      </c>
      <c r="P95" s="25" t="inlineStr">
        <is>
          <t>Not Run</t>
        </is>
      </c>
      <c r="Q95" s="25" t="inlineStr"/>
      <c r="R95" s="25" t="inlineStr"/>
      <c r="S95" s="25" t="inlineStr"/>
      <c r="T95" s="25" t="inlineStr"/>
      <c r="U95" s="25" t="inlineStr"/>
      <c r="V95" s="24">
        <f>IF(P95="Not Run","Chưa chạy",IF(R95="","Thiếu Tester",IF(S95="","Thiếu Ngày chạy",IF(Q95="","Thiếu Actual Result",IF(AND(P95="Fail",T95=""),"Thiếu Defect ID",IF(AND(OR(P95="Fail",P95="Blocked"),U95=""),"Thiếu Evidence","Hợp lệ"))))))</f>
        <v/>
      </c>
    </row>
    <row r="96" ht="125" customHeight="1">
      <c r="A96" s="24" t="inlineStr">
        <is>
          <t>COM09-01</t>
        </is>
      </c>
      <c r="B96" s="24" t="inlineStr">
        <is>
          <t>COM09-01</t>
        </is>
      </c>
      <c r="C96" s="24" t="inlineStr">
        <is>
          <t>UC-COM-09</t>
        </is>
      </c>
      <c r="D96" s="24" t="inlineStr">
        <is>
          <t>Liệt kê thông báo của user</t>
        </is>
      </c>
      <c r="E96" s="24" t="inlineStr">
        <is>
          <t>GET</t>
        </is>
      </c>
      <c r="F96" s="24" t="inlineStr">
        <is>
          <t>{{base_url}}/api/v1/common/notifications/?company_id={{c1_id}}&amp;page=1&amp;page_size=20</t>
        </is>
      </c>
      <c r="G96" s="24" t="inlineStr">
        <is>
          <t>{{access_token}} – actor theo TEST_DATA</t>
        </is>
      </c>
      <c r="H96" s="24" t="inlineStr">
        <is>
          <t>Các biến {{...}} trong path phải lấy từ response/seed; xem cột chuẩn bị dữ liệu.</t>
        </is>
      </c>
      <c r="I96" s="24" t="inlineStr">
        <is>
          <t>company_id={{c1_id}}
page=1
page_size=20</t>
        </is>
      </c>
      <c r="J96" s="24" t="inlineStr">
        <is>
          <t>Authorization: Bearer {{access_token}}
Accept: application/json
Content-Type: application/json</t>
        </is>
      </c>
      <c r="K96" s="24" t="inlineStr">
        <is>
          <t>Không có body</t>
        </is>
      </c>
      <c r="L96"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96" s="24" t="inlineStr">
        <is>
          <t>200</t>
        </is>
      </c>
      <c r="N96" s="24" t="inlineStr">
        <is>
          <t>Phân trang mặc định 20, mới nhất trước; chỉ recipient hiện tại; loại archived/expired</t>
        </is>
      </c>
      <c r="O96" s="24" t="inlineStr">
        <is>
          <t>pm.test('HTTP thuộc [200]', () =&gt; pm.expect([200]).to.include(pm.response.code));
pm.test('Response không lộ secret', () =&gt; { const t=pm.response.text().toLowerCase(); ['password','refresh_token','access_token','otp_code'].forEach(k =&gt; pm.expect(t).not.to.include(k)); });</t>
        </is>
      </c>
      <c r="P96" s="25" t="inlineStr">
        <is>
          <t>Not Run</t>
        </is>
      </c>
      <c r="Q96" s="25" t="inlineStr"/>
      <c r="R96" s="25" t="inlineStr"/>
      <c r="S96" s="25" t="inlineStr"/>
      <c r="T96" s="25" t="inlineStr"/>
      <c r="U96" s="25" t="inlineStr"/>
      <c r="V96" s="24">
        <f>IF(P96="Not Run","Chưa chạy",IF(R96="","Thiếu Tester",IF(S96="","Thiếu Ngày chạy",IF(Q96="","Thiếu Actual Result",IF(AND(P96="Fail",T96=""),"Thiếu Defect ID",IF(AND(OR(P96="Fail",P96="Blocked"),U96=""),"Thiếu Evidence","Hợp lệ"))))))</f>
        <v/>
      </c>
    </row>
    <row r="97" ht="125" customHeight="1">
      <c r="A97" s="24" t="inlineStr">
        <is>
          <t>COM09-02</t>
        </is>
      </c>
      <c r="B97" s="24" t="inlineStr">
        <is>
          <t>COM09-02</t>
        </is>
      </c>
      <c r="C97" s="24" t="inlineStr">
        <is>
          <t>UC-COM-09</t>
        </is>
      </c>
      <c r="D97" s="24" t="inlineStr">
        <is>
          <t>Lọc company, unread/status, level, module, date range</t>
        </is>
      </c>
      <c r="E97" s="24" t="inlineStr">
        <is>
          <t>GET</t>
        </is>
      </c>
      <c r="F97" s="24" t="inlineStr">
        <is>
          <t>{{base_url}}/api/v1/common/notifications/?company_id={{c1_id}}&amp;page=1&amp;page_size=20</t>
        </is>
      </c>
      <c r="G97" s="24" t="inlineStr">
        <is>
          <t>{{access_token}} – actor theo TEST_DATA</t>
        </is>
      </c>
      <c r="H97" s="24" t="inlineStr">
        <is>
          <t>Các biến {{...}} trong path phải lấy từ response/seed; xem cột chuẩn bị dữ liệu.</t>
        </is>
      </c>
      <c r="I97" s="24" t="inlineStr">
        <is>
          <t>company_id={{c1_id}}
page=1
page_size=20</t>
        </is>
      </c>
      <c r="J97" s="24" t="inlineStr">
        <is>
          <t>Authorization: Bearer {{access_token}}
Accept: application/json
Content-Type: application/json</t>
        </is>
      </c>
      <c r="K97" s="24" t="inlineStr">
        <is>
          <t>Không có body</t>
        </is>
      </c>
      <c r="L97"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97" s="24" t="inlineStr">
        <is>
          <t>200</t>
        </is>
      </c>
      <c r="N97" s="24" t="inlineStr">
        <is>
          <t>Kết quả thỏa tất cả bộ lọc; page_size tối đa 100</t>
        </is>
      </c>
      <c r="O97" s="24" t="inlineStr">
        <is>
          <t>pm.test('HTTP thuộc [200]', () =&gt; pm.expect([200]).to.include(pm.response.code));
pm.test('Response không lộ secret', () =&gt; { const t=pm.response.text().toLowerCase(); ['password','refresh_token','access_token','otp_code'].forEach(k =&gt; pm.expect(t).not.to.include(k)); });</t>
        </is>
      </c>
      <c r="P97" s="25" t="inlineStr">
        <is>
          <t>Not Run</t>
        </is>
      </c>
      <c r="Q97" s="25" t="inlineStr"/>
      <c r="R97" s="25" t="inlineStr"/>
      <c r="S97" s="25" t="inlineStr"/>
      <c r="T97" s="25" t="inlineStr"/>
      <c r="U97" s="25" t="inlineStr"/>
      <c r="V97" s="24">
        <f>IF(P97="Not Run","Chưa chạy",IF(R97="","Thiếu Tester",IF(S97="","Thiếu Ngày chạy",IF(Q97="","Thiếu Actual Result",IF(AND(P97="Fail",T97=""),"Thiếu Defect ID",IF(AND(OR(P97="Fail",P97="Blocked"),U97=""),"Thiếu Evidence","Hợp lệ"))))))</f>
        <v/>
      </c>
    </row>
    <row r="98" ht="125" customHeight="1">
      <c r="A98" s="24" t="inlineStr">
        <is>
          <t>COM09-03</t>
        </is>
      </c>
      <c r="B98" s="24" t="inlineStr">
        <is>
          <t>COM09-03</t>
        </is>
      </c>
      <c r="C98" s="24" t="inlineStr">
        <is>
          <t>UC-COM-09</t>
        </is>
      </c>
      <c r="D98" s="24" t="inlineStr">
        <is>
          <t>User U8 truy cập notification ID của U3</t>
        </is>
      </c>
      <c r="E98" s="24" t="inlineStr">
        <is>
          <t>GET</t>
        </is>
      </c>
      <c r="F98" s="24" t="inlineStr">
        <is>
          <t>{{base_url}}/api/v1/common/notifications/{{notification_id}}/</t>
        </is>
      </c>
      <c r="G98" s="24" t="inlineStr">
        <is>
          <t>{{access_token}} – actor theo TEST_DATA</t>
        </is>
      </c>
      <c r="H98" s="24" t="inlineStr">
        <is>
          <t>Các biến {{...}} trong path phải lấy từ response/seed; xem cột chuẩn bị dữ liệu.</t>
        </is>
      </c>
      <c r="I98" s="24" t="inlineStr">
        <is>
          <t>Không có</t>
        </is>
      </c>
      <c r="J98" s="24" t="inlineStr">
        <is>
          <t>Authorization: Bearer {{access_token}}
Accept: application/json
Content-Type: application/json</t>
        </is>
      </c>
      <c r="K98" s="24" t="inlineStr">
        <is>
          <t>Không có body</t>
        </is>
      </c>
      <c r="L98"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98" s="24" t="inlineStr">
        <is>
          <t>404</t>
        </is>
      </c>
      <c r="N98" s="24" t="inlineStr">
        <is>
          <t>404; không lộ title/message/link</t>
        </is>
      </c>
      <c r="O98" s="24" t="inlineStr">
        <is>
          <t>pm.test('HTTP thuộc [404]', () =&gt; pm.expect([404]).to.include(pm.response.code));
pm.test('Response không lộ secret', () =&gt; { const t=pm.response.text().toLowerCase(); ['password','refresh_token','access_token','otp_code'].forEach(k =&gt; pm.expect(t).not.to.include(k)); });</t>
        </is>
      </c>
      <c r="P98" s="25" t="inlineStr">
        <is>
          <t>Not Run</t>
        </is>
      </c>
      <c r="Q98" s="25" t="inlineStr"/>
      <c r="R98" s="25" t="inlineStr"/>
      <c r="S98" s="25" t="inlineStr"/>
      <c r="T98" s="25" t="inlineStr"/>
      <c r="U98" s="25" t="inlineStr"/>
      <c r="V98" s="24">
        <f>IF(P98="Not Run","Chưa chạy",IF(R98="","Thiếu Tester",IF(S98="","Thiếu Ngày chạy",IF(Q98="","Thiếu Actual Result",IF(AND(P98="Fail",T98=""),"Thiếu Defect ID",IF(AND(OR(P98="Fail",P98="Blocked"),U98=""),"Thiếu Evidence","Hợp lệ"))))))</f>
        <v/>
      </c>
    </row>
    <row r="99" ht="125" customHeight="1">
      <c r="A99" s="24" t="inlineStr">
        <is>
          <t>COM09-04</t>
        </is>
      </c>
      <c r="B99" s="24" t="inlineStr">
        <is>
          <t>COM09-04</t>
        </is>
      </c>
      <c r="C99" s="24" t="inlineStr">
        <is>
          <t>UC-COM-09</t>
        </is>
      </c>
      <c r="D99" s="24" t="inlineStr">
        <is>
          <t>Mark read rồi mark unread</t>
        </is>
      </c>
      <c r="E99" s="24" t="inlineStr">
        <is>
          <t>POST</t>
        </is>
      </c>
      <c r="F99" s="24" t="inlineStr">
        <is>
          <t>{{base_url}}/api/v1/common/notifications/{{notification_id}}/read/</t>
        </is>
      </c>
      <c r="G99" s="24" t="inlineStr">
        <is>
          <t>{{access_token}} – actor theo TEST_DATA</t>
        </is>
      </c>
      <c r="H99" s="24" t="inlineStr">
        <is>
          <t>Các biến {{...}} trong path phải lấy từ response/seed; xem cột chuẩn bị dữ liệu.</t>
        </is>
      </c>
      <c r="I99" s="24" t="inlineStr">
        <is>
          <t>Không có</t>
        </is>
      </c>
      <c r="J99" s="24" t="inlineStr">
        <is>
          <t>Authorization: Bearer {{access_token}}
Accept: application/json
Content-Type: application/json</t>
        </is>
      </c>
      <c r="K99" s="24" t="inlineStr">
        <is>
          <t>{}</t>
        </is>
      </c>
      <c r="L99"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99" s="24" t="inlineStr">
        <is>
          <t>200</t>
        </is>
      </c>
      <c r="N99" s="24" t="inlineStr">
        <is>
          <t>read_at được set/clear; status READ/UNREAD đúng; thao tác idempotent</t>
        </is>
      </c>
      <c r="O99" s="24" t="inlineStr">
        <is>
          <t>pm.test('HTTP thuộc [200]', () =&gt; pm.expect([200]).to.include(pm.response.code));
pm.test('Response không lộ secret', () =&gt; { const t=pm.response.text().toLowerCase(); ['password','refresh_token','access_token','otp_code'].forEach(k =&gt; pm.expect(t).not.to.include(k)); });</t>
        </is>
      </c>
      <c r="P99" s="25" t="inlineStr">
        <is>
          <t>Not Run</t>
        </is>
      </c>
      <c r="Q99" s="25" t="inlineStr"/>
      <c r="R99" s="25" t="inlineStr"/>
      <c r="S99" s="25" t="inlineStr"/>
      <c r="T99" s="25" t="inlineStr"/>
      <c r="U99" s="25" t="inlineStr"/>
      <c r="V99" s="24">
        <f>IF(P99="Not Run","Chưa chạy",IF(R99="","Thiếu Tester",IF(S99="","Thiếu Ngày chạy",IF(Q99="","Thiếu Actual Result",IF(AND(P99="Fail",T99=""),"Thiếu Defect ID",IF(AND(OR(P99="Fail",P99="Blocked"),U99=""),"Thiếu Evidence","Hợp lệ"))))))</f>
        <v/>
      </c>
    </row>
    <row r="100" ht="125" customHeight="1">
      <c r="A100" s="24" t="inlineStr">
        <is>
          <t>COM09-05</t>
        </is>
      </c>
      <c r="B100" s="24" t="inlineStr">
        <is>
          <t>COM09-05</t>
        </is>
      </c>
      <c r="C100" s="24" t="inlineStr">
        <is>
          <t>UC-COM-09</t>
        </is>
      </c>
      <c r="D100" s="24" t="inlineStr">
        <is>
          <t>Read all trong phạm vi/bộ lọc hiện tại</t>
        </is>
      </c>
      <c r="E100" s="24" t="inlineStr">
        <is>
          <t>POST</t>
        </is>
      </c>
      <c r="F100" s="24" t="inlineStr">
        <is>
          <t>{{base_url}}/api/v1/common/notifications/read-all/?company_id={{c1_id}}</t>
        </is>
      </c>
      <c r="G100" s="24" t="inlineStr">
        <is>
          <t>{{access_token}} – actor theo TEST_DATA</t>
        </is>
      </c>
      <c r="H100" s="24" t="inlineStr">
        <is>
          <t>Các biến {{...}} trong path phải lấy từ response/seed; xem cột chuẩn bị dữ liệu.</t>
        </is>
      </c>
      <c r="I100" s="24" t="inlineStr">
        <is>
          <t>company_id={{c1_id}}</t>
        </is>
      </c>
      <c r="J100" s="24" t="inlineStr">
        <is>
          <t>Authorization: Bearer {{access_token}}
Accept: application/json
Content-Type: application/json</t>
        </is>
      </c>
      <c r="K100" s="24" t="inlineStr">
        <is>
          <t>{}</t>
        </is>
      </c>
      <c r="L100"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00" s="24" t="inlineStr">
        <is>
          <t>200</t>
        </is>
      </c>
      <c r="N100" s="24" t="inlineStr">
        <is>
          <t>Chỉ cập nhật tập đang thấy; trả số lượng chính xác</t>
        </is>
      </c>
      <c r="O100" s="24" t="inlineStr">
        <is>
          <t>pm.test('HTTP thuộc [200]', () =&gt; pm.expect([200]).to.include(pm.response.code));
pm.test('Response không lộ secret', () =&gt; { const t=pm.response.text().toLowerCase(); ['password','refresh_token','access_token','otp_code'].forEach(k =&gt; pm.expect(t).not.to.include(k)); });</t>
        </is>
      </c>
      <c r="P100" s="25" t="inlineStr">
        <is>
          <t>Not Run</t>
        </is>
      </c>
      <c r="Q100" s="25" t="inlineStr"/>
      <c r="R100" s="25" t="inlineStr"/>
      <c r="S100" s="25" t="inlineStr"/>
      <c r="T100" s="25" t="inlineStr"/>
      <c r="U100" s="25" t="inlineStr"/>
      <c r="V100" s="24">
        <f>IF(P100="Not Run","Chưa chạy",IF(R100="","Thiếu Tester",IF(S100="","Thiếu Ngày chạy",IF(Q100="","Thiếu Actual Result",IF(AND(P100="Fail",T100=""),"Thiếu Defect ID",IF(AND(OR(P100="Fail",P100="Blocked"),U100=""),"Thiếu Evidence","Hợp lệ"))))))</f>
        <v/>
      </c>
    </row>
    <row r="101" ht="125" customHeight="1">
      <c r="A101" s="24" t="inlineStr">
        <is>
          <t>COM09-06</t>
        </is>
      </c>
      <c r="B101" s="24" t="inlineStr">
        <is>
          <t>COM09-06</t>
        </is>
      </c>
      <c r="C101" s="24" t="inlineStr">
        <is>
          <t>UC-COM-09</t>
        </is>
      </c>
      <c r="D101" s="24" t="inlineStr">
        <is>
          <t>Unread count theo company/filter</t>
        </is>
      </c>
      <c r="E101" s="24" t="inlineStr">
        <is>
          <t>GET</t>
        </is>
      </c>
      <c r="F101" s="24" t="inlineStr">
        <is>
          <t>{{base_url}}/api/v1/common/notifications/unread-count/?company_id={{c1_id}}</t>
        </is>
      </c>
      <c r="G101" s="24" t="inlineStr">
        <is>
          <t>{{access_token}} – actor theo TEST_DATA</t>
        </is>
      </c>
      <c r="H101" s="24" t="inlineStr">
        <is>
          <t>Các biến {{...}} trong path phải lấy từ response/seed; xem cột chuẩn bị dữ liệu.</t>
        </is>
      </c>
      <c r="I101" s="24" t="inlineStr">
        <is>
          <t>company_id={{c1_id}}</t>
        </is>
      </c>
      <c r="J101" s="24" t="inlineStr">
        <is>
          <t>Authorization: Bearer {{access_token}}
Accept: application/json
Content-Type: application/json</t>
        </is>
      </c>
      <c r="K101" s="24" t="inlineStr">
        <is>
          <t>Không có body</t>
        </is>
      </c>
      <c r="L101"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01" s="24" t="inlineStr">
        <is>
          <t>200</t>
        </is>
      </c>
      <c r="N101" s="24" t="inlineStr">
        <is>
          <t>Khớp danh sách và thay đổi ngay sau read/unread/archive</t>
        </is>
      </c>
      <c r="O101" s="24" t="inlineStr">
        <is>
          <t>pm.test('HTTP thuộc [200]', () =&gt; pm.expect([200]).to.include(pm.response.code));
pm.test('Response không lộ secret', () =&gt; { const t=pm.response.text().toLowerCase(); ['password','refresh_token','access_token','otp_code'].forEach(k =&gt; pm.expect(t).not.to.include(k)); });</t>
        </is>
      </c>
      <c r="P101" s="25" t="inlineStr">
        <is>
          <t>Not Run</t>
        </is>
      </c>
      <c r="Q101" s="25" t="inlineStr"/>
      <c r="R101" s="25" t="inlineStr"/>
      <c r="S101" s="25" t="inlineStr"/>
      <c r="T101" s="25" t="inlineStr"/>
      <c r="U101" s="25" t="inlineStr"/>
      <c r="V101" s="24">
        <f>IF(P101="Not Run","Chưa chạy",IF(R101="","Thiếu Tester",IF(S101="","Thiếu Ngày chạy",IF(Q101="","Thiếu Actual Result",IF(AND(P101="Fail",T101=""),"Thiếu Defect ID",IF(AND(OR(P101="Fail",P101="Blocked"),U101=""),"Thiếu Evidence","Hợp lệ"))))))</f>
        <v/>
      </c>
    </row>
    <row r="102" ht="125" customHeight="1">
      <c r="A102" s="24" t="inlineStr">
        <is>
          <t>COM09-07</t>
        </is>
      </c>
      <c r="B102" s="24" t="inlineStr">
        <is>
          <t>COM09-07</t>
        </is>
      </c>
      <c r="C102" s="24" t="inlineStr">
        <is>
          <t>UC-COM-09</t>
        </is>
      </c>
      <c r="D102" s="24" t="inlineStr">
        <is>
          <t>Archive/hide notification</t>
        </is>
      </c>
      <c r="E102" s="24" t="inlineStr">
        <is>
          <t>POST</t>
        </is>
      </c>
      <c r="F102" s="24" t="inlineStr">
        <is>
          <t>{{base_url}}/api/v1/common/notifications/{{notification_id}}/archive/</t>
        </is>
      </c>
      <c r="G102" s="24" t="inlineStr">
        <is>
          <t>{{access_token}} – actor theo TEST_DATA</t>
        </is>
      </c>
      <c r="H102" s="24" t="inlineStr">
        <is>
          <t>Các biến {{...}} trong path phải lấy từ response/seed; xem cột chuẩn bị dữ liệu.</t>
        </is>
      </c>
      <c r="I102" s="24" t="inlineStr">
        <is>
          <t>Không có</t>
        </is>
      </c>
      <c r="J102" s="24" t="inlineStr">
        <is>
          <t>Authorization: Bearer {{access_token}}
Accept: application/json
Content-Type: application/json</t>
        </is>
      </c>
      <c r="K102" s="24" t="inlineStr">
        <is>
          <t>{}</t>
        </is>
      </c>
      <c r="L102"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02" s="24" t="inlineStr">
        <is>
          <t>204</t>
        </is>
      </c>
      <c r="N102" s="24" t="inlineStr">
        <is>
          <t>204; không còn trong list/count; không xóa vật lý ngoài chính sách</t>
        </is>
      </c>
      <c r="O102" s="24" t="inlineStr">
        <is>
          <t>pm.test('HTTP thuộc [204]', () =&gt; pm.expect([204]).to.include(pm.response.code));
pm.test('Response không lộ secret', () =&gt; { const t=pm.response.text().toLowerCase(); ['password','refresh_token','access_token','otp_code'].forEach(k =&gt; pm.expect(t).not.to.include(k)); });</t>
        </is>
      </c>
      <c r="P102" s="25" t="inlineStr">
        <is>
          <t>Not Run</t>
        </is>
      </c>
      <c r="Q102" s="25" t="inlineStr"/>
      <c r="R102" s="25" t="inlineStr"/>
      <c r="S102" s="25" t="inlineStr"/>
      <c r="T102" s="25" t="inlineStr"/>
      <c r="U102" s="25" t="inlineStr"/>
      <c r="V102" s="24">
        <f>IF(P102="Not Run","Chưa chạy",IF(R102="","Thiếu Tester",IF(S102="","Thiếu Ngày chạy",IF(Q102="","Thiếu Actual Result",IF(AND(P102="Fail",T102=""),"Thiếu Defect ID",IF(AND(OR(P102="Fail",P102="Blocked"),U102=""),"Thiếu Evidence","Hợp lệ"))))))</f>
        <v/>
      </c>
    </row>
    <row r="103" ht="125" customHeight="1">
      <c r="A103" s="24" t="inlineStr">
        <is>
          <t>COM09-08</t>
        </is>
      </c>
      <c r="B103" s="24" t="inlineStr">
        <is>
          <t>COM09-08</t>
        </is>
      </c>
      <c r="C103" s="24" t="inlineStr">
        <is>
          <t>UC-COM-09</t>
        </is>
      </c>
      <c r="D103" s="24" t="inlineStr">
        <is>
          <t>Open notification khi vẫn có membership và permission</t>
        </is>
      </c>
      <c r="E103" s="24" t="inlineStr">
        <is>
          <t>POST</t>
        </is>
      </c>
      <c r="F103" s="24" t="inlineStr">
        <is>
          <t>{{base_url}}/api/v1/common/notifications/{{notification_id}}/open/</t>
        </is>
      </c>
      <c r="G103" s="24" t="inlineStr">
        <is>
          <t>{{access_token}} – actor theo TEST_DATA</t>
        </is>
      </c>
      <c r="H103" s="24" t="inlineStr">
        <is>
          <t>Các biến {{...}} trong path phải lấy từ response/seed; xem cột chuẩn bị dữ liệu.</t>
        </is>
      </c>
      <c r="I103" s="24" t="inlineStr">
        <is>
          <t>Không có</t>
        </is>
      </c>
      <c r="J103" s="24" t="inlineStr">
        <is>
          <t>Authorization: Bearer {{access_token}}
Accept: application/json
Content-Type: application/json</t>
        </is>
      </c>
      <c r="K103" s="24" t="inlineStr">
        <is>
          <t>{}</t>
        </is>
      </c>
      <c r="L103"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03" s="24" t="inlineStr">
        <is>
          <t>200</t>
        </is>
      </c>
      <c r="N103" s="24" t="inlineStr">
        <is>
          <t>Tự mark read; trả link hoặc null đúng dữ liệu</t>
        </is>
      </c>
      <c r="O103" s="24" t="inlineStr">
        <is>
          <t>pm.test('HTTP thuộc [200]', () =&gt; pm.expect([200]).to.include(pm.response.code));
pm.test('Response không lộ secret', () =&gt; { const t=pm.response.text().toLowerCase(); ['password','refresh_token','access_token','otp_code'].forEach(k =&gt; pm.expect(t).not.to.include(k)); });</t>
        </is>
      </c>
      <c r="P103" s="25" t="inlineStr">
        <is>
          <t>Not Run</t>
        </is>
      </c>
      <c r="Q103" s="25" t="inlineStr"/>
      <c r="R103" s="25" t="inlineStr"/>
      <c r="S103" s="25" t="inlineStr"/>
      <c r="T103" s="25" t="inlineStr"/>
      <c r="U103" s="25" t="inlineStr"/>
      <c r="V103" s="24">
        <f>IF(P103="Not Run","Chưa chạy",IF(R103="","Thiếu Tester",IF(S103="","Thiếu Ngày chạy",IF(Q103="","Thiếu Actual Result",IF(AND(P103="Fail",T103=""),"Thiếu Defect ID",IF(AND(OR(P103="Fail",P103="Blocked"),U103=""),"Thiếu Evidence","Hợp lệ"))))))</f>
        <v/>
      </c>
    </row>
    <row r="104" ht="125" customHeight="1">
      <c r="A104" s="24" t="inlineStr">
        <is>
          <t>COM09-09</t>
        </is>
      </c>
      <c r="B104" s="24" t="inlineStr">
        <is>
          <t>COM09-09</t>
        </is>
      </c>
      <c r="C104" s="24" t="inlineStr">
        <is>
          <t>UC-COM-09</t>
        </is>
      </c>
      <c r="D104" s="24" t="inlineStr">
        <is>
          <t>Permission/membership bị thu hồi trước khi open</t>
        </is>
      </c>
      <c r="E104" s="24" t="inlineStr">
        <is>
          <t>POST</t>
        </is>
      </c>
      <c r="F104" s="24" t="inlineStr">
        <is>
          <t>{{base_url}}/api/v1/common/notifications/{{notification_id}}/open/</t>
        </is>
      </c>
      <c r="G104" s="24" t="inlineStr">
        <is>
          <t>{{access_token}} – actor theo TEST_DATA</t>
        </is>
      </c>
      <c r="H104" s="24" t="inlineStr">
        <is>
          <t>Các biến {{...}} trong path phải lấy từ response/seed; xem cột chuẩn bị dữ liệu.</t>
        </is>
      </c>
      <c r="I104" s="24" t="inlineStr">
        <is>
          <t>Không có</t>
        </is>
      </c>
      <c r="J104" s="24" t="inlineStr">
        <is>
          <t>Authorization: Bearer {{access_token}}
Accept: application/json
Content-Type: application/json</t>
        </is>
      </c>
      <c r="K104" s="24" t="inlineStr">
        <is>
          <t>{}</t>
        </is>
      </c>
      <c r="L104"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04" s="24" t="inlineStr">
        <is>
          <t>403</t>
        </is>
      </c>
      <c r="N104" s="24" t="inlineStr">
        <is>
          <t>403; không điều hướng hoặc lộ nội dung đích</t>
        </is>
      </c>
      <c r="O104" s="24" t="inlineStr">
        <is>
          <t>pm.test('HTTP thuộc [403]', () =&gt; pm.expect([403]).to.include(pm.response.code));
pm.test('Response không lộ secret', () =&gt; { const t=pm.response.text().toLowerCase(); ['password','refresh_token','access_token','otp_code'].forEach(k =&gt; pm.expect(t).not.to.include(k)); });</t>
        </is>
      </c>
      <c r="P104" s="25" t="inlineStr">
        <is>
          <t>Not Run</t>
        </is>
      </c>
      <c r="Q104" s="25" t="inlineStr"/>
      <c r="R104" s="25" t="inlineStr"/>
      <c r="S104" s="25" t="inlineStr"/>
      <c r="T104" s="25" t="inlineStr"/>
      <c r="U104" s="25" t="inlineStr"/>
      <c r="V104" s="24">
        <f>IF(P104="Not Run","Chưa chạy",IF(R104="","Thiếu Tester",IF(S104="","Thiếu Ngày chạy",IF(Q104="","Thiếu Actual Result",IF(AND(P104="Fail",T104=""),"Thiếu Defect ID",IF(AND(OR(P104="Fail",P104="Blocked"),U104=""),"Thiếu Evidence","Hợp lệ"))))))</f>
        <v/>
      </c>
    </row>
    <row r="105" ht="125" customHeight="1">
      <c r="A105" s="24" t="inlineStr">
        <is>
          <t>COM09-10</t>
        </is>
      </c>
      <c r="B105" s="24" t="inlineStr">
        <is>
          <t>COM09-10</t>
        </is>
      </c>
      <c r="C105" s="24" t="inlineStr">
        <is>
          <t>UC-COM-09</t>
        </is>
      </c>
      <c r="D105" s="24" t="inlineStr">
        <is>
          <t>Notification toàn hệ thống không có company</t>
        </is>
      </c>
      <c r="E105" s="24" t="inlineStr">
        <is>
          <t>POST</t>
        </is>
      </c>
      <c r="F105" s="24" t="inlineStr">
        <is>
          <t>{{base_url}}/api/v1/common/notifications/{{notification_id}}/open/</t>
        </is>
      </c>
      <c r="G105" s="24" t="inlineStr">
        <is>
          <t>{{access_token}} – actor theo TEST_DATA</t>
        </is>
      </c>
      <c r="H105" s="24" t="inlineStr">
        <is>
          <t>Các biến {{...}} trong path phải lấy từ response/seed; xem cột chuẩn bị dữ liệu.</t>
        </is>
      </c>
      <c r="I105" s="24" t="inlineStr">
        <is>
          <t>Không có</t>
        </is>
      </c>
      <c r="J105" s="24" t="inlineStr">
        <is>
          <t>Authorization: Bearer {{access_token}}
Accept: application/json
Content-Type: application/json</t>
        </is>
      </c>
      <c r="K105" s="24" t="inlineStr">
        <is>
          <t>{}</t>
        </is>
      </c>
      <c r="L105"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05" s="24" t="inlineStr">
        <is>
          <t>200</t>
        </is>
      </c>
      <c r="N105" s="24" t="inlineStr">
        <is>
          <t>Vẫn hiển thị đúng recipient và mở an toàn</t>
        </is>
      </c>
      <c r="O105" s="24" t="inlineStr">
        <is>
          <t>pm.test('HTTP thuộc [200]', () =&gt; pm.expect([200]).to.include(pm.response.code));
pm.test('Response không lộ secret', () =&gt; { const t=pm.response.text().toLowerCase(); ['password','refresh_token','access_token','otp_code'].forEach(k =&gt; pm.expect(t).not.to.include(k)); });</t>
        </is>
      </c>
      <c r="P105" s="25" t="inlineStr">
        <is>
          <t>Not Run</t>
        </is>
      </c>
      <c r="Q105" s="25" t="inlineStr"/>
      <c r="R105" s="25" t="inlineStr"/>
      <c r="S105" s="25" t="inlineStr"/>
      <c r="T105" s="25" t="inlineStr"/>
      <c r="U105" s="25" t="inlineStr"/>
      <c r="V105" s="24">
        <f>IF(P105="Not Run","Chưa chạy",IF(R105="","Thiếu Tester",IF(S105="","Thiếu Ngày chạy",IF(Q105="","Thiếu Actual Result",IF(AND(P105="Fail",T105=""),"Thiếu Defect ID",IF(AND(OR(P105="Fail",P105="Blocked"),U105=""),"Thiếu Evidence","Hợp lệ"))))))</f>
        <v/>
      </c>
    </row>
    <row r="106" ht="125" customHeight="1">
      <c r="A106" s="24" t="inlineStr">
        <is>
          <t>COM09-11</t>
        </is>
      </c>
      <c r="B106" s="24" t="inlineStr">
        <is>
          <t>COM09-11</t>
        </is>
      </c>
      <c r="C106" s="24" t="inlineStr">
        <is>
          <t>UC-COM-09</t>
        </is>
      </c>
      <c r="D106" s="24" t="inlineStr">
        <is>
          <t>Tạo lại cùng recipient + event_key</t>
        </is>
      </c>
      <c r="E106" s="24" t="inlineStr">
        <is>
          <t>GET</t>
        </is>
      </c>
      <c r="F106" s="24" t="inlineStr">
        <is>
          <t>{{base_url}}/api/v1/common/notifications/?company_id={{c1_id}}&amp;page=1&amp;page_size=20</t>
        </is>
      </c>
      <c r="G106" s="24" t="inlineStr">
        <is>
          <t>{{access_token}} – actor theo TEST_DATA</t>
        </is>
      </c>
      <c r="H106" s="24" t="inlineStr">
        <is>
          <t>Các biến {{...}} trong path phải lấy từ response/seed; xem cột chuẩn bị dữ liệu.</t>
        </is>
      </c>
      <c r="I106" s="24" t="inlineStr">
        <is>
          <t>company_id={{c1_id}}
page=1
page_size=20</t>
        </is>
      </c>
      <c r="J106" s="24" t="inlineStr">
        <is>
          <t>Authorization: Bearer {{access_token}}
Accept: application/json
Content-Type: application/json</t>
        </is>
      </c>
      <c r="K106" s="24" t="inlineStr">
        <is>
          <t>Không có body</t>
        </is>
      </c>
      <c r="L106"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06" s="24" t="inlineStr">
        <is>
          <t>200</t>
        </is>
      </c>
      <c r="N106" s="24" t="inlineStr">
        <is>
          <t>Không tạo thông báo trùng</t>
        </is>
      </c>
      <c r="O106" s="24" t="inlineStr">
        <is>
          <t>pm.test('HTTP thuộc [200]', () =&gt; pm.expect([200]).to.include(pm.response.code));
pm.test('Response không lộ secret', () =&gt; { const t=pm.response.text().toLowerCase(); ['password','refresh_token','access_token','otp_code'].forEach(k =&gt; pm.expect(t).not.to.include(k)); });</t>
        </is>
      </c>
      <c r="P106" s="25" t="inlineStr">
        <is>
          <t>Not Run</t>
        </is>
      </c>
      <c r="Q106" s="25" t="inlineStr"/>
      <c r="R106" s="25" t="inlineStr"/>
      <c r="S106" s="25" t="inlineStr"/>
      <c r="T106" s="25" t="inlineStr"/>
      <c r="U106" s="25" t="inlineStr"/>
      <c r="V106" s="24">
        <f>IF(P106="Not Run","Chưa chạy",IF(R106="","Thiếu Tester",IF(S106="","Thiếu Ngày chạy",IF(Q106="","Thiếu Actual Result",IF(AND(P106="Fail",T106=""),"Thiếu Defect ID",IF(AND(OR(P106="Fail",P106="Blocked"),U106=""),"Thiếu Evidence","Hợp lệ"))))))</f>
        <v/>
      </c>
    </row>
    <row r="107" ht="125" customHeight="1">
      <c r="A107" s="24" t="inlineStr">
        <is>
          <t>COM09-12</t>
        </is>
      </c>
      <c r="B107" s="24" t="inlineStr">
        <is>
          <t>COM09-12</t>
        </is>
      </c>
      <c r="C107" s="24" t="inlineStr">
        <is>
          <t>UC-COM-09</t>
        </is>
      </c>
      <c r="D107" s="24" t="inlineStr">
        <is>
          <t>Mốc ngày/giờ quanh 00:00 timezone Việt Nam</t>
        </is>
      </c>
      <c r="E107" s="24" t="inlineStr">
        <is>
          <t>GET</t>
        </is>
      </c>
      <c r="F107" s="24" t="inlineStr">
        <is>
          <t>{{base_url}}/api/v1/common/notifications/?company_id={{c1_id}}&amp;page=1&amp;page_size=20</t>
        </is>
      </c>
      <c r="G107" s="24" t="inlineStr">
        <is>
          <t>{{access_token}} – actor theo TEST_DATA</t>
        </is>
      </c>
      <c r="H107" s="24" t="inlineStr">
        <is>
          <t>Các biến {{...}} trong path phải lấy từ response/seed; xem cột chuẩn bị dữ liệu.</t>
        </is>
      </c>
      <c r="I107" s="24" t="inlineStr">
        <is>
          <t>company_id={{c1_id}}
page=1
page_size=20</t>
        </is>
      </c>
      <c r="J107" s="24" t="inlineStr">
        <is>
          <t>Authorization: Bearer {{access_token}}
Accept: application/json
Content-Type: application/json</t>
        </is>
      </c>
      <c r="K107" s="24" t="inlineStr">
        <is>
          <t>Không có body</t>
        </is>
      </c>
      <c r="L107"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07" s="24" t="inlineStr">
        <is>
          <t>200</t>
        </is>
      </c>
      <c r="N107" s="24" t="inlineStr">
        <is>
          <t>Lọc date_from/date_to đúng ngày địa phương đã thống nhất</t>
        </is>
      </c>
      <c r="O107" s="24" t="inlineStr">
        <is>
          <t>pm.test('HTTP thuộc [200]', () =&gt; pm.expect([200]).to.include(pm.response.code));
pm.test('Response không lộ secret', () =&gt; { const t=pm.response.text().toLowerCase(); ['password','refresh_token','access_token','otp_code'].forEach(k =&gt; pm.expect(t).not.to.include(k)); });</t>
        </is>
      </c>
      <c r="P107" s="25" t="inlineStr">
        <is>
          <t>Not Run</t>
        </is>
      </c>
      <c r="Q107" s="25" t="inlineStr"/>
      <c r="R107" s="25" t="inlineStr"/>
      <c r="S107" s="25" t="inlineStr"/>
      <c r="T107" s="25" t="inlineStr"/>
      <c r="U107" s="25" t="inlineStr"/>
      <c r="V107" s="24">
        <f>IF(P107="Not Run","Chưa chạy",IF(R107="","Thiếu Tester",IF(S107="","Thiếu Ngày chạy",IF(Q107="","Thiếu Actual Result",IF(AND(P107="Fail",T107=""),"Thiếu Defect ID",IF(AND(OR(P107="Fail",P107="Blocked"),U107=""),"Thiếu Evidence","Hợp lệ"))))))</f>
        <v/>
      </c>
    </row>
    <row r="108" ht="125" customHeight="1">
      <c r="A108" s="24" t="inlineStr">
        <is>
          <t>COM10-01</t>
        </is>
      </c>
      <c r="B108" s="24" t="inlineStr">
        <is>
          <t>COM10-01</t>
        </is>
      </c>
      <c r="C108" s="24" t="inlineStr">
        <is>
          <t>UC-COM-10</t>
        </is>
      </c>
      <c r="D108" s="24" t="inlineStr">
        <is>
          <t>Tìm theo tên có dấu và truy vấn không dấu</t>
        </is>
      </c>
      <c r="E108" s="24" t="inlineStr">
        <is>
          <t>GET</t>
        </is>
      </c>
      <c r="F108" s="24" t="inlineStr">
        <is>
          <t>{{base_url}}/api/v1/common/search/?company={{c1_id}}&amp;branch={{b1_id}}&amp;q={{search_q}}&amp;page=1&amp;page_size=20</t>
        </is>
      </c>
      <c r="G108" s="24" t="inlineStr">
        <is>
          <t>{{access_token}} – actor theo TEST_DATA</t>
        </is>
      </c>
      <c r="H108" s="24" t="inlineStr">
        <is>
          <t>Các biến {{...}} trong path phải lấy từ response/seed; xem cột chuẩn bị dữ liệu.</t>
        </is>
      </c>
      <c r="I108" s="24" t="inlineStr">
        <is>
          <t>company={{c1_id}}
branch={{b1_id}}
q={{search_q}}
page=1
page_size=20</t>
        </is>
      </c>
      <c r="J108" s="24" t="inlineStr">
        <is>
          <t>Authorization: Bearer {{access_token}}
Accept: application/json
Content-Type: application/json</t>
        </is>
      </c>
      <c r="K108" s="24" t="inlineStr">
        <is>
          <t>Không có body</t>
        </is>
      </c>
      <c r="L108"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08" s="24" t="inlineStr">
        <is>
          <t>200</t>
        </is>
      </c>
      <c r="N108" s="24" t="inlineStr">
        <is>
          <t>Trả cùng đối tượng phù hợp; highlight/preview không làm sai dữ liệu</t>
        </is>
      </c>
      <c r="O108" s="24" t="inlineStr">
        <is>
          <t>pm.test('HTTP thuộc [200]', () =&gt; pm.expect([200]).to.include(pm.response.code));
pm.test('Response không lộ secret', () =&gt; { const t=pm.response.text().toLowerCase(); ['password','refresh_token','access_token','otp_code'].forEach(k =&gt; pm.expect(t).not.to.include(k)); });</t>
        </is>
      </c>
      <c r="P108" s="25" t="inlineStr">
        <is>
          <t>Not Run</t>
        </is>
      </c>
      <c r="Q108" s="25" t="inlineStr"/>
      <c r="R108" s="25" t="inlineStr"/>
      <c r="S108" s="25" t="inlineStr"/>
      <c r="T108" s="25" t="inlineStr"/>
      <c r="U108" s="25" t="inlineStr"/>
      <c r="V108" s="24">
        <f>IF(P108="Not Run","Chưa chạy",IF(R108="","Thiếu Tester",IF(S108="","Thiếu Ngày chạy",IF(Q108="","Thiếu Actual Result",IF(AND(P108="Fail",T108=""),"Thiếu Defect ID",IF(AND(OR(P108="Fail",P108="Blocked"),U108=""),"Thiếu Evidence","Hợp lệ"))))))</f>
        <v/>
      </c>
    </row>
    <row r="109" ht="125" customHeight="1">
      <c r="A109" s="24" t="inlineStr">
        <is>
          <t>COM10-02</t>
        </is>
      </c>
      <c r="B109" s="24" t="inlineStr">
        <is>
          <t>COM10-02</t>
        </is>
      </c>
      <c r="C109" s="24" t="inlineStr">
        <is>
          <t>UC-COM-10</t>
        </is>
      </c>
      <c r="D109" s="24" t="inlineStr">
        <is>
          <t>Query có khoảng trắng thừa, đúng 2 ký tự, 1 ký tự, &gt;255 ký tự</t>
        </is>
      </c>
      <c r="E109" s="24" t="inlineStr">
        <is>
          <t>GET</t>
        </is>
      </c>
      <c r="F109" s="24" t="inlineStr">
        <is>
          <t>{{base_url}}/api/v1/common/search/?company={{c1_id}}&amp;branch={{b1_id}}&amp;q={{search_q}}&amp;page=1&amp;page_size=20</t>
        </is>
      </c>
      <c r="G109" s="24" t="inlineStr">
        <is>
          <t>{{access_token}} – actor theo TEST_DATA</t>
        </is>
      </c>
      <c r="H109" s="24" t="inlineStr">
        <is>
          <t>Các biến {{...}} trong path phải lấy từ response/seed; xem cột chuẩn bị dữ liệu.</t>
        </is>
      </c>
      <c r="I109" s="24" t="inlineStr">
        <is>
          <t>company={{c1_id}}
branch={{b1_id}}
q={{search_q}}
page=1
page_size=20</t>
        </is>
      </c>
      <c r="J109" s="24" t="inlineStr">
        <is>
          <t>Authorization: Bearer {{access_token}}
Accept: application/json
Content-Type: application/json</t>
        </is>
      </c>
      <c r="K109" s="24" t="inlineStr">
        <is>
          <t>Không có body</t>
        </is>
      </c>
      <c r="L109"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09" s="24" t="inlineStr">
        <is>
          <t>400</t>
        </is>
      </c>
      <c r="N109" s="24" t="inlineStr">
        <is>
          <t>Chuẩn hóa hợp lệ; biên sai trả 400</t>
        </is>
      </c>
      <c r="O109" s="24" t="inlineStr">
        <is>
          <t>pm.test('HTTP thuộc [400]', () =&gt; pm.expect([400]).to.include(pm.response.code));
pm.test('Response không lộ secret', () =&gt; { const t=pm.response.text().toLowerCase(); ['password','refresh_token','access_token','otp_code'].forEach(k =&gt; pm.expect(t).not.to.include(k)); });</t>
        </is>
      </c>
      <c r="P109" s="25" t="inlineStr">
        <is>
          <t>Not Run</t>
        </is>
      </c>
      <c r="Q109" s="25" t="inlineStr"/>
      <c r="R109" s="25" t="inlineStr"/>
      <c r="S109" s="25" t="inlineStr"/>
      <c r="T109" s="25" t="inlineStr"/>
      <c r="U109" s="25" t="inlineStr"/>
      <c r="V109" s="24">
        <f>IF(P109="Not Run","Chưa chạy",IF(R109="","Thiếu Tester",IF(S109="","Thiếu Ngày chạy",IF(Q109="","Thiếu Actual Result",IF(AND(P109="Fail",T109=""),"Thiếu Defect ID",IF(AND(OR(P109="Fail",P109="Blocked"),U109=""),"Thiếu Evidence","Hợp lệ"))))))</f>
        <v/>
      </c>
    </row>
    <row r="110" ht="125" customHeight="1">
      <c r="A110" s="24" t="inlineStr">
        <is>
          <t>COM10-03</t>
        </is>
      </c>
      <c r="B110" s="24" t="inlineStr">
        <is>
          <t>COM10-03</t>
        </is>
      </c>
      <c r="C110" s="24" t="inlineStr">
        <is>
          <t>UC-COM-10</t>
        </is>
      </c>
      <c r="D110" s="24" t="inlineStr">
        <is>
          <t>User không có COM.SEARCH.USE</t>
        </is>
      </c>
      <c r="E110" s="24" t="inlineStr">
        <is>
          <t>GET</t>
        </is>
      </c>
      <c r="F110" s="24" t="inlineStr">
        <is>
          <t>{{base_url}}/api/v1/common/search/?company={{c1_id}}&amp;branch={{b1_id}}&amp;q={{search_q}}&amp;page=1&amp;page_size=20</t>
        </is>
      </c>
      <c r="G110" s="24" t="inlineStr">
        <is>
          <t>{{access_token}} – actor theo TEST_DATA</t>
        </is>
      </c>
      <c r="H110" s="24" t="inlineStr">
        <is>
          <t>Các biến {{...}} trong path phải lấy từ response/seed; xem cột chuẩn bị dữ liệu.</t>
        </is>
      </c>
      <c r="I110" s="24" t="inlineStr">
        <is>
          <t>company={{c1_id}}
branch={{b1_id}}
q={{search_q}}
page=1
page_size=20</t>
        </is>
      </c>
      <c r="J110" s="24" t="inlineStr">
        <is>
          <t>Authorization: Bearer {{access_token}}
Accept: application/json
Content-Type: application/json</t>
        </is>
      </c>
      <c r="K110" s="24" t="inlineStr">
        <is>
          <t>Không có body</t>
        </is>
      </c>
      <c r="L110"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10" s="24" t="inlineStr">
        <is>
          <t>403</t>
        </is>
      </c>
      <c r="N110" s="24" t="inlineStr">
        <is>
          <t>403; không trả tổng số hay preview</t>
        </is>
      </c>
      <c r="O110" s="24" t="inlineStr">
        <is>
          <t>pm.test('HTTP thuộc [403]', () =&gt; pm.expect([403]).to.include(pm.response.code));
pm.test('Response không lộ secret', () =&gt; { const t=pm.response.text().toLowerCase(); ['password','refresh_token','access_token','otp_code'].forEach(k =&gt; pm.expect(t).not.to.include(k)); });</t>
        </is>
      </c>
      <c r="P110" s="25" t="inlineStr">
        <is>
          <t>Not Run</t>
        </is>
      </c>
      <c r="Q110" s="25" t="inlineStr"/>
      <c r="R110" s="25" t="inlineStr"/>
      <c r="S110" s="25" t="inlineStr"/>
      <c r="T110" s="25" t="inlineStr"/>
      <c r="U110" s="25" t="inlineStr"/>
      <c r="V110" s="24">
        <f>IF(P110="Not Run","Chưa chạy",IF(R110="","Thiếu Tester",IF(S110="","Thiếu Ngày chạy",IF(Q110="","Thiếu Actual Result",IF(AND(P110="Fail",T110=""),"Thiếu Defect ID",IF(AND(OR(P110="Fail",P110="Blocked"),U110=""),"Thiếu Evidence","Hợp lệ"))))))</f>
        <v/>
      </c>
    </row>
    <row r="111" ht="125" customHeight="1">
      <c r="A111" s="24" t="inlineStr">
        <is>
          <t>COM10-04</t>
        </is>
      </c>
      <c r="B111" s="24" t="inlineStr">
        <is>
          <t>COM10-04</t>
        </is>
      </c>
      <c r="C111" s="24" t="inlineStr">
        <is>
          <t>UC-COM-10</t>
        </is>
      </c>
      <c r="D111" s="24" t="inlineStr">
        <is>
          <t>Kết quả thuộc company khác/branch ngoài scope</t>
        </is>
      </c>
      <c r="E111" s="24" t="inlineStr">
        <is>
          <t>GET</t>
        </is>
      </c>
      <c r="F111" s="24" t="inlineStr">
        <is>
          <t>{{base_url}}/api/v1/common/search/?company={{c1_id}}&amp;branch={{b1_id}}&amp;q={{search_q}}&amp;page=1&amp;page_size=20</t>
        </is>
      </c>
      <c r="G111" s="24" t="inlineStr">
        <is>
          <t>{{token_u4}} – U4 chỉ có C1/B1</t>
        </is>
      </c>
      <c r="H111" s="24" t="inlineStr">
        <is>
          <t>Các biến {{...}} trong path phải lấy từ response/seed; xem cột chuẩn bị dữ liệu.</t>
        </is>
      </c>
      <c r="I111" s="24" t="inlineStr">
        <is>
          <t>company={{c1_id}}
branch={{b1_id}}
q={{search_q}}
page=1
page_size=20</t>
        </is>
      </c>
      <c r="J111" s="24" t="inlineStr">
        <is>
          <t>Authorization: Bearer {{access_token}}
Accept: application/json
Content-Type: application/json</t>
        </is>
      </c>
      <c r="K111" s="24" t="inlineStr">
        <is>
          <t>Không có body</t>
        </is>
      </c>
      <c r="L111"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11" s="24" t="inlineStr">
        <is>
          <t>200</t>
        </is>
      </c>
      <c r="N111" s="24" t="inlineStr">
        <is>
          <t>Không xuất hiện trong bất kỳ group/count nào</t>
        </is>
      </c>
      <c r="O111" s="24" t="inlineStr">
        <is>
          <t>pm.test('HTTP thuộc [200]', () =&gt; pm.expect([200]).to.include(pm.response.code));
pm.test('Response không lộ secret', () =&gt; { const t=pm.response.text().toLowerCase(); ['password','refresh_token','access_token','otp_code'].forEach(k =&gt; pm.expect(t).not.to.include(k)); });</t>
        </is>
      </c>
      <c r="P111" s="25" t="inlineStr">
        <is>
          <t>Not Run</t>
        </is>
      </c>
      <c r="Q111" s="25" t="inlineStr"/>
      <c r="R111" s="25" t="inlineStr"/>
      <c r="S111" s="25" t="inlineStr"/>
      <c r="T111" s="25" t="inlineStr"/>
      <c r="U111" s="25" t="inlineStr"/>
      <c r="V111" s="24">
        <f>IF(P111="Not Run","Chưa chạy",IF(R111="","Thiếu Tester",IF(S111="","Thiếu Ngày chạy",IF(Q111="","Thiếu Actual Result",IF(AND(P111="Fail",T111=""),"Thiếu Defect ID",IF(AND(OR(P111="Fail",P111="Blocked"),U111=""),"Thiếu Evidence","Hợp lệ"))))))</f>
        <v/>
      </c>
    </row>
    <row r="112" ht="125" customHeight="1">
      <c r="A112" s="24" t="inlineStr">
        <is>
          <t>COM10-05</t>
        </is>
      </c>
      <c r="B112" s="24" t="inlineStr">
        <is>
          <t>COM10-05</t>
        </is>
      </c>
      <c r="C112" s="24" t="inlineStr">
        <is>
          <t>UC-COM-10</t>
        </is>
      </c>
      <c r="D112" s="24" t="inlineStr">
        <is>
          <t>Lọc group/status/date/branch</t>
        </is>
      </c>
      <c r="E112" s="24" t="inlineStr">
        <is>
          <t>GET</t>
        </is>
      </c>
      <c r="F112" s="24" t="inlineStr">
        <is>
          <t>{{base_url}}/api/v1/common/search/?company={{c1_id}}&amp;branch={{b1_id}}&amp;q={{search_q}}&amp;page=1&amp;page_size=20</t>
        </is>
      </c>
      <c r="G112" s="24" t="inlineStr">
        <is>
          <t>{{access_token}} – actor theo TEST_DATA</t>
        </is>
      </c>
      <c r="H112" s="24" t="inlineStr">
        <is>
          <t>Các biến {{...}} trong path phải lấy từ response/seed; xem cột chuẩn bị dữ liệu.</t>
        </is>
      </c>
      <c r="I112" s="24" t="inlineStr">
        <is>
          <t>company={{c1_id}}
branch={{b1_id}}
q={{search_q}}
page=1
page_size=20</t>
        </is>
      </c>
      <c r="J112" s="24" t="inlineStr">
        <is>
          <t>Authorization: Bearer {{access_token}}
Accept: application/json
Content-Type: application/json</t>
        </is>
      </c>
      <c r="K112" s="24" t="inlineStr">
        <is>
          <t>Không có body</t>
        </is>
      </c>
      <c r="L112"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12" s="24" t="inlineStr">
        <is>
          <t>200</t>
        </is>
      </c>
      <c r="N112" s="24" t="inlineStr">
        <is>
          <t>Kết quả và total theo đúng điều kiện</t>
        </is>
      </c>
      <c r="O112" s="24" t="inlineStr">
        <is>
          <t>pm.test('HTTP thuộc [200]', () =&gt; pm.expect([200]).to.include(pm.response.code));
pm.test('Response không lộ secret', () =&gt; { const t=pm.response.text().toLowerCase(); ['password','refresh_token','access_token','otp_code'].forEach(k =&gt; pm.expect(t).not.to.include(k)); });</t>
        </is>
      </c>
      <c r="P112" s="25" t="inlineStr">
        <is>
          <t>Not Run</t>
        </is>
      </c>
      <c r="Q112" s="25" t="inlineStr"/>
      <c r="R112" s="25" t="inlineStr"/>
      <c r="S112" s="25" t="inlineStr"/>
      <c r="T112" s="25" t="inlineStr"/>
      <c r="U112" s="25" t="inlineStr"/>
      <c r="V112" s="24">
        <f>IF(P112="Not Run","Chưa chạy",IF(R112="","Thiếu Tester",IF(S112="","Thiếu Ngày chạy",IF(Q112="","Thiếu Actual Result",IF(AND(P112="Fail",T112=""),"Thiếu Defect ID",IF(AND(OR(P112="Fail",P112="Blocked"),U112=""),"Thiếu Evidence","Hợp lệ"))))))</f>
        <v/>
      </c>
    </row>
    <row r="113" ht="125" customHeight="1">
      <c r="A113" s="24" t="inlineStr">
        <is>
          <t>COM10-06</t>
        </is>
      </c>
      <c r="B113" s="24" t="inlineStr">
        <is>
          <t>COM10-06</t>
        </is>
      </c>
      <c r="C113" s="24" t="inlineStr">
        <is>
          <t>UC-COM-10</t>
        </is>
      </c>
      <c r="D113" s="24" t="inlineStr">
        <is>
          <t>Pagination theo group với page/page_size/preview_size biên</t>
        </is>
      </c>
      <c r="E113" s="24" t="inlineStr">
        <is>
          <t>GET</t>
        </is>
      </c>
      <c r="F113" s="24" t="inlineStr">
        <is>
          <t>{{base_url}}/api/v1/common/search/?company={{c1_id}}&amp;branch={{b1_id}}&amp;q={{search_q}}&amp;page=1&amp;page_size=20</t>
        </is>
      </c>
      <c r="G113" s="24" t="inlineStr">
        <is>
          <t>{{access_token}} – actor theo TEST_DATA</t>
        </is>
      </c>
      <c r="H113" s="24" t="inlineStr">
        <is>
          <t>Các biến {{...}} trong path phải lấy từ response/seed; xem cột chuẩn bị dữ liệu.</t>
        </is>
      </c>
      <c r="I113" s="24" t="inlineStr">
        <is>
          <t>company={{c1_id}}
branch={{b1_id}}
q={{search_q}}
page=1
page_size=20</t>
        </is>
      </c>
      <c r="J113" s="24" t="inlineStr">
        <is>
          <t>Authorization: Bearer {{access_token}}
Accept: application/json
Content-Type: application/json</t>
        </is>
      </c>
      <c r="K113" s="24" t="inlineStr">
        <is>
          <t>Không có body</t>
        </is>
      </c>
      <c r="L113"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13" s="24" t="inlineStr">
        <is>
          <t>200</t>
        </is>
      </c>
      <c r="N113" s="24" t="inlineStr">
        <is>
          <t>Không trùng/mất bản ghi; max lần lượt 100/20 được thực thi</t>
        </is>
      </c>
      <c r="O113" s="24" t="inlineStr">
        <is>
          <t>pm.test('HTTP thuộc [200]', () =&gt; pm.expect([200]).to.include(pm.response.code));
pm.test('Response không lộ secret', () =&gt; { const t=pm.response.text().toLowerCase(); ['password','refresh_token','access_token','otp_code'].forEach(k =&gt; pm.expect(t).not.to.include(k)); });</t>
        </is>
      </c>
      <c r="P113" s="25" t="inlineStr">
        <is>
          <t>Not Run</t>
        </is>
      </c>
      <c r="Q113" s="25" t="inlineStr"/>
      <c r="R113" s="25" t="inlineStr"/>
      <c r="S113" s="25" t="inlineStr"/>
      <c r="T113" s="25" t="inlineStr"/>
      <c r="U113" s="25" t="inlineStr"/>
      <c r="V113" s="24">
        <f>IF(P113="Not Run","Chưa chạy",IF(R113="","Thiếu Tester",IF(S113="","Thiếu Ngày chạy",IF(Q113="","Thiếu Actual Result",IF(AND(P113="Fail",T113=""),"Thiếu Defect ID",IF(AND(OR(P113="Fail",P113="Blocked"),U113=""),"Thiếu Evidence","Hợp lệ"))))))</f>
        <v/>
      </c>
    </row>
    <row r="114" ht="125" customHeight="1">
      <c r="A114" s="24" t="inlineStr">
        <is>
          <t>COM10-07</t>
        </is>
      </c>
      <c r="B114" s="24" t="inlineStr">
        <is>
          <t>COM10-07</t>
        </is>
      </c>
      <c r="C114" s="24" t="inlineStr">
        <is>
          <t>UC-COM-10</t>
        </is>
      </c>
      <c r="D114" s="24" t="inlineStr">
        <is>
          <t>Không truyền company nhưng có current_company</t>
        </is>
      </c>
      <c r="E114" s="24" t="inlineStr">
        <is>
          <t>GET</t>
        </is>
      </c>
      <c r="F114" s="24" t="inlineStr">
        <is>
          <t>{{base_url}}/api/v1/common/search/?company={{c1_id}}&amp;branch={{b1_id}}&amp;q={{search_q}}&amp;page=1&amp;page_size=20</t>
        </is>
      </c>
      <c r="G114" s="24" t="inlineStr">
        <is>
          <t>{{access_token}} – actor theo TEST_DATA</t>
        </is>
      </c>
      <c r="H114" s="24" t="inlineStr">
        <is>
          <t>Các biến {{...}} trong path phải lấy từ response/seed; xem cột chuẩn bị dữ liệu.</t>
        </is>
      </c>
      <c r="I114" s="24" t="inlineStr">
        <is>
          <t>company={{c1_id}}
branch={{b1_id}}
q={{search_q}}
page=1
page_size=20</t>
        </is>
      </c>
      <c r="J114" s="24" t="inlineStr">
        <is>
          <t>Authorization: Bearer {{access_token}}
Accept: application/json
Content-Type: application/json</t>
        </is>
      </c>
      <c r="K114" s="24" t="inlineStr">
        <is>
          <t>Không có body</t>
        </is>
      </c>
      <c r="L114"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14" s="24" t="inlineStr">
        <is>
          <t>200</t>
        </is>
      </c>
      <c r="N114" s="24" t="inlineStr">
        <is>
          <t>Dùng đúng current company; thiếu cả hai trả lỗi an toàn</t>
        </is>
      </c>
      <c r="O114" s="24" t="inlineStr">
        <is>
          <t>pm.test('HTTP thuộc [200]', () =&gt; pm.expect([200]).to.include(pm.response.code));
pm.test('Response không lộ secret', () =&gt; { const t=pm.response.text().toLowerCase(); ['password','refresh_token','access_token','otp_code'].forEach(k =&gt; pm.expect(t).not.to.include(k)); });</t>
        </is>
      </c>
      <c r="P114" s="25" t="inlineStr">
        <is>
          <t>Not Run</t>
        </is>
      </c>
      <c r="Q114" s="25" t="inlineStr"/>
      <c r="R114" s="25" t="inlineStr"/>
      <c r="S114" s="25" t="inlineStr"/>
      <c r="T114" s="25" t="inlineStr"/>
      <c r="U114" s="25" t="inlineStr"/>
      <c r="V114" s="24">
        <f>IF(P114="Not Run","Chưa chạy",IF(R114="","Thiếu Tester",IF(S114="","Thiếu Ngày chạy",IF(Q114="","Thiếu Actual Result",IF(AND(P114="Fail",T114=""),"Thiếu Defect ID",IF(AND(OR(P114="Fail",P114="Blocked"),U114=""),"Thiếu Evidence","Hợp lệ"))))))</f>
        <v/>
      </c>
    </row>
    <row r="115" ht="125" customHeight="1">
      <c r="A115" s="24" t="inlineStr">
        <is>
          <t>COM10-08</t>
        </is>
      </c>
      <c r="B115" s="24" t="inlineStr">
        <is>
          <t>COM10-08</t>
        </is>
      </c>
      <c r="C115" s="24" t="inlineStr">
        <is>
          <t>UC-COM-10</t>
        </is>
      </c>
      <c r="D115" s="24" t="inlineStr">
        <is>
          <t>Mở kết quả hợp lệ</t>
        </is>
      </c>
      <c r="E115" s="24" t="inlineStr">
        <is>
          <t>POST</t>
        </is>
      </c>
      <c r="F115" s="24" t="inlineStr">
        <is>
          <t>{{base_url}}/api/v1/common/search/open/</t>
        </is>
      </c>
      <c r="G115" s="24" t="inlineStr">
        <is>
          <t>{{access_token}} – actor theo TEST_DATA</t>
        </is>
      </c>
      <c r="H115" s="24" t="inlineStr">
        <is>
          <t>Các biến {{...}} trong path phải lấy từ response/seed; xem cột chuẩn bị dữ liệu.</t>
        </is>
      </c>
      <c r="I115" s="24" t="inlineStr">
        <is>
          <t>Không có</t>
        </is>
      </c>
      <c r="J115" s="24" t="inlineStr">
        <is>
          <t>Authorization: Bearer {{access_token}}
Accept: application/json
Content-Type: application/json</t>
        </is>
      </c>
      <c r="K115" s="24" t="inlineStr">
        <is>
          <t>{
  "company": "{{c1_id}}",
  "branch": "{{b1_id}}",
  "entity_type": "{{search_entity_type}}",
  "entity_id": "{{search_entity_id}}"
}</t>
        </is>
      </c>
      <c r="L115"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15" s="24" t="inlineStr">
        <is>
          <t>200</t>
        </is>
      </c>
      <c r="N115" s="24" t="inlineStr">
        <is>
          <t>Re-check membership, permission, scope và trạng thái entity; trả link đích đúng</t>
        </is>
      </c>
      <c r="O115" s="24" t="inlineStr">
        <is>
          <t>pm.test('HTTP thuộc [200]', () =&gt; pm.expect([200]).to.include(pm.response.code));
pm.test('Response không lộ secret', () =&gt; { const t=pm.response.text().toLowerCase(); ['password','refresh_token','access_token','otp_code'].forEach(k =&gt; pm.expect(t).not.to.include(k)); });</t>
        </is>
      </c>
      <c r="P115" s="25" t="inlineStr">
        <is>
          <t>Not Run</t>
        </is>
      </c>
      <c r="Q115" s="25" t="inlineStr"/>
      <c r="R115" s="25" t="inlineStr"/>
      <c r="S115" s="25" t="inlineStr"/>
      <c r="T115" s="25" t="inlineStr"/>
      <c r="U115" s="25" t="inlineStr"/>
      <c r="V115" s="24">
        <f>IF(P115="Not Run","Chưa chạy",IF(R115="","Thiếu Tester",IF(S115="","Thiếu Ngày chạy",IF(Q115="","Thiếu Actual Result",IF(AND(P115="Fail",T115=""),"Thiếu Defect ID",IF(AND(OR(P115="Fail",P115="Blocked"),U115=""),"Thiếu Evidence","Hợp lệ"))))))</f>
        <v/>
      </c>
    </row>
    <row r="116" ht="125" customHeight="1">
      <c r="A116" s="24" t="inlineStr">
        <is>
          <t>COM10-09</t>
        </is>
      </c>
      <c r="B116" s="24" t="inlineStr">
        <is>
          <t>COM10-09</t>
        </is>
      </c>
      <c r="C116" s="24" t="inlineStr">
        <is>
          <t>UC-COM-10</t>
        </is>
      </c>
      <c r="D116" s="24" t="inlineStr">
        <is>
          <t>Permission bị thu hồi hoặc entity bị xóa/inactive sau search</t>
        </is>
      </c>
      <c r="E116" s="24" t="inlineStr">
        <is>
          <t>POST</t>
        </is>
      </c>
      <c r="F116" s="24" t="inlineStr">
        <is>
          <t>{{base_url}}/api/v1/common/search/open/</t>
        </is>
      </c>
      <c r="G116" s="24" t="inlineStr">
        <is>
          <t>{{access_token}} – actor theo TEST_DATA</t>
        </is>
      </c>
      <c r="H116" s="24" t="inlineStr">
        <is>
          <t>Các biến {{...}} trong path phải lấy từ response/seed; xem cột chuẩn bị dữ liệu.</t>
        </is>
      </c>
      <c r="I116" s="24" t="inlineStr">
        <is>
          <t>Không có</t>
        </is>
      </c>
      <c r="J116" s="24" t="inlineStr">
        <is>
          <t>Authorization: Bearer {{access_token}}
Accept: application/json
Content-Type: application/json</t>
        </is>
      </c>
      <c r="K116" s="24" t="inlineStr">
        <is>
          <t>{
  "company": "{{c1_id}}",
  "branch": "{{b1_id}}",
  "entity_type": "{{search_entity_type}}",
  "entity_id": "{{search_entity_id}}"
}</t>
        </is>
      </c>
      <c r="L116"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16" s="24" t="inlineStr">
        <is>
          <t>200</t>
        </is>
      </c>
      <c r="N116" s="24" t="inlineStr">
        <is>
          <t>Open bị từ chối/cảnh báo phù hợp; không dùng quyền cache cũ</t>
        </is>
      </c>
      <c r="O116" s="24" t="inlineStr">
        <is>
          <t>pm.test('HTTP thuộc [200]', () =&gt; pm.expect([200]).to.include(pm.response.code));
pm.test('Response không lộ secret', () =&gt; { const t=pm.response.text().toLowerCase(); ['password','refresh_token','access_token','otp_code'].forEach(k =&gt; pm.expect(t).not.to.include(k)); });</t>
        </is>
      </c>
      <c r="P116" s="25" t="inlineStr">
        <is>
          <t>Not Run</t>
        </is>
      </c>
      <c r="Q116" s="25" t="inlineStr"/>
      <c r="R116" s="25" t="inlineStr"/>
      <c r="S116" s="25" t="inlineStr"/>
      <c r="T116" s="25" t="inlineStr"/>
      <c r="U116" s="25" t="inlineStr"/>
      <c r="V116" s="24">
        <f>IF(P116="Not Run","Chưa chạy",IF(R116="","Thiếu Tester",IF(S116="","Thiếu Ngày chạy",IF(Q116="","Thiếu Actual Result",IF(AND(P116="Fail",T116=""),"Thiếu Defect ID",IF(AND(OR(P116="Fail",P116="Blocked"),U116=""),"Thiếu Evidence","Hợp lệ"))))))</f>
        <v/>
      </c>
    </row>
    <row r="117" ht="125" customHeight="1">
      <c r="A117" s="24" t="inlineStr">
        <is>
          <t>COM10-10</t>
        </is>
      </c>
      <c r="B117" s="24" t="inlineStr">
        <is>
          <t>COM10-10</t>
        </is>
      </c>
      <c r="C117" s="24" t="inlineStr">
        <is>
          <t>UC-COM-10</t>
        </is>
      </c>
      <c r="D117" s="24" t="inlineStr">
        <is>
          <t>Thử SQL wildcard/injection/XSS payload trong q</t>
        </is>
      </c>
      <c r="E117" s="24" t="inlineStr">
        <is>
          <t>GET</t>
        </is>
      </c>
      <c r="F117" s="24" t="inlineStr">
        <is>
          <t>{{base_url}}/api/v1/common/search/?company={{c1_id}}&amp;branch={{b1_id}}&amp;q={{search_q}}&amp;page=1&amp;page_size=20</t>
        </is>
      </c>
      <c r="G117" s="24" t="inlineStr">
        <is>
          <t>{{access_token}} – actor theo TEST_DATA</t>
        </is>
      </c>
      <c r="H117" s="24" t="inlineStr">
        <is>
          <t>Các biến {{...}} trong path phải lấy từ response/seed; xem cột chuẩn bị dữ liệu.</t>
        </is>
      </c>
      <c r="I117" s="24" t="inlineStr">
        <is>
          <t>company={{c1_id}}
branch={{b1_id}}
q={{search_q}}
page=1
page_size=20</t>
        </is>
      </c>
      <c r="J117" s="24" t="inlineStr">
        <is>
          <t>Authorization: Bearer {{access_token}}
Accept: application/json
Content-Type: application/json</t>
        </is>
      </c>
      <c r="K117" s="24" t="inlineStr">
        <is>
          <t>Không có body</t>
        </is>
      </c>
      <c r="L117"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17" s="24" t="inlineStr">
        <is>
          <t>200</t>
        </is>
      </c>
      <c r="N117" s="24" t="inlineStr">
        <is>
          <t>Không lỗi 5xx, không injection, output được encode tại UI</t>
        </is>
      </c>
      <c r="O117" s="24" t="inlineStr">
        <is>
          <t>pm.test('HTTP thuộc [200]', () =&gt; pm.expect([200]).to.include(pm.response.code));
pm.test('Response không lộ secret', () =&gt; { const t=pm.response.text().toLowerCase(); ['password','refresh_token','access_token','otp_code'].forEach(k =&gt; pm.expect(t).not.to.include(k)); });</t>
        </is>
      </c>
      <c r="P117" s="25" t="inlineStr">
        <is>
          <t>Not Run</t>
        </is>
      </c>
      <c r="Q117" s="25" t="inlineStr"/>
      <c r="R117" s="25" t="inlineStr"/>
      <c r="S117" s="25" t="inlineStr"/>
      <c r="T117" s="25" t="inlineStr"/>
      <c r="U117" s="25" t="inlineStr"/>
      <c r="V117" s="24">
        <f>IF(P117="Not Run","Chưa chạy",IF(R117="","Thiếu Tester",IF(S117="","Thiếu Ngày chạy",IF(Q117="","Thiếu Actual Result",IF(AND(P117="Fail",T117=""),"Thiếu Defect ID",IF(AND(OR(P117="Fail",P117="Blocked"),U117=""),"Thiếu Evidence","Hợp lệ"))))))</f>
        <v/>
      </c>
    </row>
    <row r="118" ht="125" customHeight="1">
      <c r="A118" s="24" t="inlineStr">
        <is>
          <t>COM10-11</t>
        </is>
      </c>
      <c r="B118" s="24" t="inlineStr">
        <is>
          <t>COM10-11</t>
        </is>
      </c>
      <c r="C118" s="24" t="inlineStr">
        <is>
          <t>UC-COM-10</t>
        </is>
      </c>
      <c r="D118" s="24" t="inlineStr">
        <is>
          <t>Đo latency với dữ liệu lớn và truy vấn không có kết quả</t>
        </is>
      </c>
      <c r="E118" s="24" t="inlineStr">
        <is>
          <t>GET</t>
        </is>
      </c>
      <c r="F118" s="24" t="inlineStr">
        <is>
          <t>{{base_url}}/api/v1/common/search/?company={{c1_id}}&amp;branch={{b1_id}}&amp;q={{search_q}}&amp;page=1&amp;page_size=20</t>
        </is>
      </c>
      <c r="G118" s="24" t="inlineStr">
        <is>
          <t>{{access_token}} – actor theo TEST_DATA</t>
        </is>
      </c>
      <c r="H118" s="24" t="inlineStr">
        <is>
          <t>Các biến {{...}} trong path phải lấy từ response/seed; xem cột chuẩn bị dữ liệu.</t>
        </is>
      </c>
      <c r="I118" s="24" t="inlineStr">
        <is>
          <t>company={{c1_id}}
branch={{b1_id}}
q={{search_q}}
page=1
page_size=20</t>
        </is>
      </c>
      <c r="J118" s="24" t="inlineStr">
        <is>
          <t>Authorization: Bearer {{access_token}}
Accept: application/json
Content-Type: application/json</t>
        </is>
      </c>
      <c r="K118" s="24" t="inlineStr">
        <is>
          <t>Không có body</t>
        </is>
      </c>
      <c r="L118"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18" s="24" t="inlineStr">
        <is>
          <t>200</t>
        </is>
      </c>
      <c r="N118" s="24" t="inlineStr">
        <is>
          <t>Đạt SLA; response ổn định, không full-table payload</t>
        </is>
      </c>
      <c r="O118" s="24" t="inlineStr">
        <is>
          <t>pm.test('HTTP thuộc [200]', () =&gt; pm.expect([200]).to.include(pm.response.code));
pm.test('Response không lộ secret', () =&gt; { const t=pm.response.text().toLowerCase(); ['password','refresh_token','access_token','otp_code'].forEach(k =&gt; pm.expect(t).not.to.include(k)); });</t>
        </is>
      </c>
      <c r="P118" s="25" t="inlineStr">
        <is>
          <t>Not Run</t>
        </is>
      </c>
      <c r="Q118" s="25" t="inlineStr"/>
      <c r="R118" s="25" t="inlineStr"/>
      <c r="S118" s="25" t="inlineStr"/>
      <c r="T118" s="25" t="inlineStr"/>
      <c r="U118" s="25" t="inlineStr"/>
      <c r="V118" s="24">
        <f>IF(P118="Not Run","Chưa chạy",IF(R118="","Thiếu Tester",IF(S118="","Thiếu Ngày chạy",IF(Q118="","Thiếu Actual Result",IF(AND(P118="Fail",T118=""),"Thiếu Defect ID",IF(AND(OR(P118="Fail",P118="Blocked"),U118=""),"Thiếu Evidence","Hợp lệ"))))))</f>
        <v/>
      </c>
    </row>
    <row r="119" ht="125" customHeight="1">
      <c r="A119" s="24" t="inlineStr">
        <is>
          <t>COM11-01</t>
        </is>
      </c>
      <c r="B119" s="24" t="inlineStr">
        <is>
          <t>COM11-01</t>
        </is>
      </c>
      <c r="C119" s="24" t="inlineStr">
        <is>
          <t>UC-COM-11</t>
        </is>
      </c>
      <c r="D119" s="24" t="inlineStr">
        <is>
          <t>Liệt kê work-item gán trực tiếp cho user</t>
        </is>
      </c>
      <c r="E119" s="24" t="inlineStr">
        <is>
          <t>GET</t>
        </is>
      </c>
      <c r="F119" s="24" t="inlineStr">
        <is>
          <t>{{base_url}}/api/v1/common/work-items/?company_id={{c1_id}}&amp;branch_id={{b1_id}}</t>
        </is>
      </c>
      <c r="G119" s="24" t="inlineStr">
        <is>
          <t>{{access_token}} – actor theo TEST_DATA</t>
        </is>
      </c>
      <c r="H119" s="24" t="inlineStr">
        <is>
          <t>Các biến {{...}} trong path phải lấy từ response/seed; xem cột chuẩn bị dữ liệu.</t>
        </is>
      </c>
      <c r="I119" s="24" t="inlineStr">
        <is>
          <t>company_id={{c1_id}}
branch_id={{b1_id}}</t>
        </is>
      </c>
      <c r="J119" s="24" t="inlineStr">
        <is>
          <t>Authorization: Bearer {{access_token}}
Accept: application/json
Content-Type: application/json</t>
        </is>
      </c>
      <c r="K119" s="24" t="inlineStr">
        <is>
          <t>Không có body</t>
        </is>
      </c>
      <c r="L119"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19" s="24" t="inlineStr">
        <is>
          <t>200</t>
        </is>
      </c>
      <c r="N119" s="24" t="inlineStr">
        <is>
          <t>Trả đúng company/scope/permission, phân trang chính xác</t>
        </is>
      </c>
      <c r="O119" s="24" t="inlineStr">
        <is>
          <t>pm.test('HTTP thuộc [200]', () =&gt; pm.expect([200]).to.include(pm.response.code));
pm.test('Response không lộ secret', () =&gt; { const t=pm.response.text().toLowerCase(); ['password','refresh_token','access_token','otp_code'].forEach(k =&gt; pm.expect(t).not.to.include(k)); });</t>
        </is>
      </c>
      <c r="P119" s="25" t="inlineStr">
        <is>
          <t>Not Run</t>
        </is>
      </c>
      <c r="Q119" s="25" t="inlineStr"/>
      <c r="R119" s="25" t="inlineStr"/>
      <c r="S119" s="25" t="inlineStr"/>
      <c r="T119" s="25" t="inlineStr"/>
      <c r="U119" s="25" t="inlineStr"/>
      <c r="V119" s="24">
        <f>IF(P119="Not Run","Chưa chạy",IF(R119="","Thiếu Tester",IF(S119="","Thiếu Ngày chạy",IF(Q119="","Thiếu Actual Result",IF(AND(P119="Fail",T119=""),"Thiếu Defect ID",IF(AND(OR(P119="Fail",P119="Blocked"),U119=""),"Thiếu Evidence","Hợp lệ"))))))</f>
        <v/>
      </c>
    </row>
    <row r="120" ht="125" customHeight="1">
      <c r="A120" s="24" t="inlineStr">
        <is>
          <t>COM11-02</t>
        </is>
      </c>
      <c r="B120" s="24" t="inlineStr">
        <is>
          <t>COM11-02</t>
        </is>
      </c>
      <c r="C120" s="24" t="inlineStr">
        <is>
          <t>UC-COM-11</t>
        </is>
      </c>
      <c r="D120" s="24" t="inlineStr">
        <is>
          <t>Work-item gán theo role của user</t>
        </is>
      </c>
      <c r="E120" s="24" t="inlineStr">
        <is>
          <t>GET</t>
        </is>
      </c>
      <c r="F120" s="24" t="inlineStr">
        <is>
          <t>{{base_url}}/api/v1/common/work-items/?company_id={{c1_id}}&amp;branch_id={{b1_id}}</t>
        </is>
      </c>
      <c r="G120" s="24" t="inlineStr">
        <is>
          <t>{{access_token}} – actor theo TEST_DATA</t>
        </is>
      </c>
      <c r="H120" s="24" t="inlineStr">
        <is>
          <t>Các biến {{...}} trong path phải lấy từ response/seed; xem cột chuẩn bị dữ liệu.</t>
        </is>
      </c>
      <c r="I120" s="24" t="inlineStr">
        <is>
          <t>company_id={{c1_id}}
branch_id={{b1_id}}</t>
        </is>
      </c>
      <c r="J120" s="24" t="inlineStr">
        <is>
          <t>Authorization: Bearer {{access_token}}
Accept: application/json
Content-Type: application/json</t>
        </is>
      </c>
      <c r="K120" s="24" t="inlineStr">
        <is>
          <t>Không có body</t>
        </is>
      </c>
      <c r="L120"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20" s="24" t="inlineStr">
        <is>
          <t>200</t>
        </is>
      </c>
      <c r="N120" s="24" t="inlineStr">
        <is>
          <t>Hiển thị khi assignment hiệu lực; ẩn khi role hết hiệu lực/bị revoke</t>
        </is>
      </c>
      <c r="O120" s="24" t="inlineStr">
        <is>
          <t>pm.test('HTTP thuộc [200]', () =&gt; pm.expect([200]).to.include(pm.response.code));
pm.test('Response không lộ secret', () =&gt; { const t=pm.response.text().toLowerCase(); ['password','refresh_token','access_token','otp_code'].forEach(k =&gt; pm.expect(t).not.to.include(k)); });</t>
        </is>
      </c>
      <c r="P120" s="25" t="inlineStr">
        <is>
          <t>Not Run</t>
        </is>
      </c>
      <c r="Q120" s="25" t="inlineStr"/>
      <c r="R120" s="25" t="inlineStr"/>
      <c r="S120" s="25" t="inlineStr"/>
      <c r="T120" s="25" t="inlineStr"/>
      <c r="U120" s="25" t="inlineStr"/>
      <c r="V120" s="24">
        <f>IF(P120="Not Run","Chưa chạy",IF(R120="","Thiếu Tester",IF(S120="","Thiếu Ngày chạy",IF(Q120="","Thiếu Actual Result",IF(AND(P120="Fail",T120=""),"Thiếu Defect ID",IF(AND(OR(P120="Fail",P120="Blocked"),U120=""),"Thiếu Evidence","Hợp lệ"))))))</f>
        <v/>
      </c>
    </row>
    <row r="121" ht="125" customHeight="1">
      <c r="A121" s="24" t="inlineStr">
        <is>
          <t>COM11-03A</t>
        </is>
      </c>
      <c r="B121" s="24" t="inlineStr">
        <is>
          <t>COM11-03</t>
        </is>
      </c>
      <c r="C121" s="24" t="inlineStr">
        <is>
          <t>UC-COM-11</t>
        </is>
      </c>
      <c r="D121" s="24" t="inlineStr">
        <is>
          <t>Item C2 hoặc branch ngoài scope</t>
        </is>
      </c>
      <c r="E121" s="24" t="inlineStr">
        <is>
          <t>GET</t>
        </is>
      </c>
      <c r="F121" s="24" t="inlineStr">
        <is>
          <t>{{base_url}}/api/v1/common/work-items/?company_id={{c1_id}}&amp;branch_id={{b2_id}}</t>
        </is>
      </c>
      <c r="G121" s="24" t="inlineStr">
        <is>
          <t>{{token_u4}} – U4 chỉ có C1/B1</t>
        </is>
      </c>
      <c r="H121" s="24" t="inlineStr">
        <is>
          <t>Các biến {{...}} trong path phải lấy từ response/seed; xem cột chuẩn bị dữ liệu.</t>
        </is>
      </c>
      <c r="I121" s="24" t="inlineStr">
        <is>
          <t>company_id={{c1_id}}
branch_id={{b2_id}}</t>
        </is>
      </c>
      <c r="J121" s="24" t="inlineStr">
        <is>
          <t>Authorization: Bearer {{access_token}}
Accept: application/json
Content-Type: application/json</t>
        </is>
      </c>
      <c r="K121" s="24" t="inlineStr">
        <is>
          <t>Không có body</t>
        </is>
      </c>
      <c r="L121"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
4. Đổi branch_id trên URL thành {{b2_id}} trong khi U4 chỉ được B1; expected 403.</t>
        </is>
      </c>
      <c r="M121" s="24" t="inlineStr">
        <is>
          <t>403</t>
        </is>
      </c>
      <c r="N121" s="24" t="inlineStr">
        <is>
          <t>Không xuất hiện và không truy cập được bằng ID</t>
        </is>
      </c>
      <c r="O121" s="24" t="inlineStr">
        <is>
          <t>pm.test('HTTP thuộc [403]', () =&gt; pm.expect([403]).to.include(pm.response.code));
pm.test('Response không lộ secret', () =&gt; { const t=pm.response.text().toLowerCase(); ['password','refresh_token','access_token','otp_code'].forEach(k =&gt; pm.expect(t).not.to.include(k)); });</t>
        </is>
      </c>
      <c r="P121" s="25" t="inlineStr">
        <is>
          <t>Not Run</t>
        </is>
      </c>
      <c r="Q121" s="25" t="inlineStr"/>
      <c r="R121" s="25" t="inlineStr"/>
      <c r="S121" s="25" t="inlineStr"/>
      <c r="T121" s="25" t="inlineStr"/>
      <c r="U121" s="25" t="inlineStr"/>
      <c r="V121" s="24">
        <f>IF(P121="Not Run","Chưa chạy",IF(R121="","Thiếu Tester",IF(S121="","Thiếu Ngày chạy",IF(Q121="","Thiếu Actual Result",IF(AND(P121="Fail",T121=""),"Thiếu Defect ID",IF(AND(OR(P121="Fail",P121="Blocked"),U121=""),"Thiếu Evidence","Hợp lệ"))))))</f>
        <v/>
      </c>
    </row>
    <row r="122" ht="125" customHeight="1">
      <c r="A122" s="24" t="inlineStr">
        <is>
          <t>COM11-03B</t>
        </is>
      </c>
      <c r="B122" s="24" t="inlineStr">
        <is>
          <t>COM11-03</t>
        </is>
      </c>
      <c r="C122" s="24" t="inlineStr">
        <is>
          <t>UC-COM-11</t>
        </is>
      </c>
      <c r="D122" s="24" t="inlineStr">
        <is>
          <t>Item C2 hoặc branch ngoài scope</t>
        </is>
      </c>
      <c r="E122" s="24" t="inlineStr">
        <is>
          <t>GET</t>
        </is>
      </c>
      <c r="F122" s="24" t="inlineStr">
        <is>
          <t>{{base_url}}/api/v1/common/work-items/{{c2_work_item_id}}/?company_id={{c1_id}}&amp;branch_id={{b1_id}}</t>
        </is>
      </c>
      <c r="G122" s="24" t="inlineStr">
        <is>
          <t>{{token_u4}} – U4 chỉ có C1/B1</t>
        </is>
      </c>
      <c r="H122" s="24" t="inlineStr">
        <is>
          <t>Các biến {{...}} trong path phải lấy từ response/seed; xem cột chuẩn bị dữ liệu.</t>
        </is>
      </c>
      <c r="I122" s="24" t="inlineStr">
        <is>
          <t>company_id={{c1_id}}
branch_id={{b1_id}}</t>
        </is>
      </c>
      <c r="J122" s="24" t="inlineStr">
        <is>
          <t>Authorization: Bearer {{access_token}}
Accept: application/json
Content-Type: application/json</t>
        </is>
      </c>
      <c r="K122" s="24" t="inlineStr">
        <is>
          <t>Không có body</t>
        </is>
      </c>
      <c r="L122"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
4. Đặt {{work_item_id}}={{c2_work_item_id}}, giữ company_id={{c1_id}}; expected 404 và không lộ dữ liệu C2.</t>
        </is>
      </c>
      <c r="M122" s="24" t="inlineStr">
        <is>
          <t>404</t>
        </is>
      </c>
      <c r="N122" s="24" t="inlineStr">
        <is>
          <t>Không xuất hiện và không truy cập được bằng ID</t>
        </is>
      </c>
      <c r="O122" s="24" t="inlineStr">
        <is>
          <t>pm.test('HTTP thuộc [404]', () =&gt; pm.expect([404]).to.include(pm.response.code));
pm.test('Response không lộ secret', () =&gt; { const t=pm.response.text().toLowerCase(); ['password','refresh_token','access_token','otp_code'].forEach(k =&gt; pm.expect(t).not.to.include(k)); });</t>
        </is>
      </c>
      <c r="P122" s="25" t="inlineStr">
        <is>
          <t>Not Run</t>
        </is>
      </c>
      <c r="Q122" s="25" t="inlineStr"/>
      <c r="R122" s="25" t="inlineStr"/>
      <c r="S122" s="25" t="inlineStr"/>
      <c r="T122" s="25" t="inlineStr"/>
      <c r="U122" s="25" t="inlineStr"/>
      <c r="V122" s="24">
        <f>IF(P122="Not Run","Chưa chạy",IF(R122="","Thiếu Tester",IF(S122="","Thiếu Ngày chạy",IF(Q122="","Thiếu Actual Result",IF(AND(P122="Fail",T122=""),"Thiếu Defect ID",IF(AND(OR(P122="Fail",P122="Blocked"),U122=""),"Thiếu Evidence","Hợp lệ"))))))</f>
        <v/>
      </c>
    </row>
    <row r="123" ht="125" customHeight="1">
      <c r="A123" s="24" t="inlineStr">
        <is>
          <t>COM11-03C</t>
        </is>
      </c>
      <c r="B123" s="24" t="inlineStr">
        <is>
          <t>COM11-03</t>
        </is>
      </c>
      <c r="C123" s="24" t="inlineStr">
        <is>
          <t>UC-COM-11</t>
        </is>
      </c>
      <c r="D123" s="24" t="inlineStr">
        <is>
          <t>Item C2 hoặc branch ngoài scope</t>
        </is>
      </c>
      <c r="E123" s="24" t="inlineStr">
        <is>
          <t>POST</t>
        </is>
      </c>
      <c r="F123" s="24" t="inlineStr">
        <is>
          <t>{{base_url}}/api/v1/common/work-items/{{c2_work_item_id}}/open/?company_id={{c1_id}}&amp;branch_id={{b1_id}}</t>
        </is>
      </c>
      <c r="G123" s="24" t="inlineStr">
        <is>
          <t>{{token_u4}} – U4 chỉ có C1/B1</t>
        </is>
      </c>
      <c r="H123" s="24" t="inlineStr">
        <is>
          <t>Các biến {{...}} trong path phải lấy từ response/seed; xem cột chuẩn bị dữ liệu.</t>
        </is>
      </c>
      <c r="I123" s="24" t="inlineStr">
        <is>
          <t>company_id={{c1_id}}
branch_id={{b1_id}}</t>
        </is>
      </c>
      <c r="J123" s="24" t="inlineStr">
        <is>
          <t>Authorization: Bearer {{access_token}}
Accept: application/json
Content-Type: application/json</t>
        </is>
      </c>
      <c r="K123" s="24" t="inlineStr">
        <is>
          <t>{}</t>
        </is>
      </c>
      <c r="L123"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
4. Đặt {{work_item_id}}={{c2_work_item_id}}, giữ company_id={{c1_id}}; expected 404 và không lộ dữ liệu C2.</t>
        </is>
      </c>
      <c r="M123" s="24" t="inlineStr">
        <is>
          <t>404</t>
        </is>
      </c>
      <c r="N123" s="24" t="inlineStr">
        <is>
          <t>Không xuất hiện và không truy cập được bằng ID</t>
        </is>
      </c>
      <c r="O123" s="24" t="inlineStr">
        <is>
          <t>pm.test('HTTP thuộc [404]', () =&gt; pm.expect([404]).to.include(pm.response.code));
pm.test('Response không lộ secret', () =&gt; { const t=pm.response.text().toLowerCase(); ['password','refresh_token','access_token','otp_code'].forEach(k =&gt; pm.expect(t).not.to.include(k)); });</t>
        </is>
      </c>
      <c r="P123" s="25" t="inlineStr">
        <is>
          <t>Not Run</t>
        </is>
      </c>
      <c r="Q123" s="25" t="inlineStr"/>
      <c r="R123" s="25" t="inlineStr"/>
      <c r="S123" s="25" t="inlineStr"/>
      <c r="T123" s="25" t="inlineStr"/>
      <c r="U123" s="25" t="inlineStr"/>
      <c r="V123" s="24">
        <f>IF(P123="Not Run","Chưa chạy",IF(R123="","Thiếu Tester",IF(S123="","Thiếu Ngày chạy",IF(Q123="","Thiếu Actual Result",IF(AND(P123="Fail",T123=""),"Thiếu Defect ID",IF(AND(OR(P123="Fail",P123="Blocked"),U123=""),"Thiếu Evidence","Hợp lệ"))))))</f>
        <v/>
      </c>
    </row>
    <row r="124" ht="125" customHeight="1">
      <c r="A124" s="24" t="inlineStr">
        <is>
          <t>COM11-03D</t>
        </is>
      </c>
      <c r="B124" s="24" t="inlineStr">
        <is>
          <t>COM11-03</t>
        </is>
      </c>
      <c r="C124" s="24" t="inlineStr">
        <is>
          <t>UC-COM-11</t>
        </is>
      </c>
      <c r="D124" s="24" t="inlineStr">
        <is>
          <t>Item C2 hoặc branch ngoài scope</t>
        </is>
      </c>
      <c r="E124" s="24" t="inlineStr">
        <is>
          <t>GET</t>
        </is>
      </c>
      <c r="F124" s="24" t="inlineStr">
        <is>
          <t>{{base_url}}/api/v1/common/work-items/{{c2_work_item_id}}/history/?company_id={{c1_id}}&amp;branch_id={{b1_id}}</t>
        </is>
      </c>
      <c r="G124" s="24" t="inlineStr">
        <is>
          <t>{{token_u4}} – U4 chỉ có C1/B1</t>
        </is>
      </c>
      <c r="H124" s="24" t="inlineStr">
        <is>
          <t>Các biến {{...}} trong path phải lấy từ response/seed; xem cột chuẩn bị dữ liệu.</t>
        </is>
      </c>
      <c r="I124" s="24" t="inlineStr">
        <is>
          <t>company_id={{c1_id}}
branch_id={{b1_id}}</t>
        </is>
      </c>
      <c r="J124" s="24" t="inlineStr">
        <is>
          <t>Authorization: Bearer {{access_token}}
Accept: application/json
Content-Type: application/json</t>
        </is>
      </c>
      <c r="K124" s="24" t="inlineStr">
        <is>
          <t>Không có body</t>
        </is>
      </c>
      <c r="L124"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
4. Đặt {{work_item_id}}={{c2_work_item_id}}, giữ company_id={{c1_id}}; expected 404 và không lộ dữ liệu C2.</t>
        </is>
      </c>
      <c r="M124" s="24" t="inlineStr">
        <is>
          <t>404</t>
        </is>
      </c>
      <c r="N124" s="24" t="inlineStr">
        <is>
          <t>Không xuất hiện và không truy cập được bằng ID</t>
        </is>
      </c>
      <c r="O124" s="24" t="inlineStr">
        <is>
          <t>pm.test('HTTP thuộc [404]', () =&gt; pm.expect([404]).to.include(pm.response.code));
pm.test('Response không lộ secret', () =&gt; { const t=pm.response.text().toLowerCase(); ['password','refresh_token','access_token','otp_code'].forEach(k =&gt; pm.expect(t).not.to.include(k)); });</t>
        </is>
      </c>
      <c r="P124" s="25" t="inlineStr">
        <is>
          <t>Not Run</t>
        </is>
      </c>
      <c r="Q124" s="25" t="inlineStr"/>
      <c r="R124" s="25" t="inlineStr"/>
      <c r="S124" s="25" t="inlineStr"/>
      <c r="T124" s="25" t="inlineStr"/>
      <c r="U124" s="25" t="inlineStr"/>
      <c r="V124" s="24">
        <f>IF(P124="Not Run","Chưa chạy",IF(R124="","Thiếu Tester",IF(S124="","Thiếu Ngày chạy",IF(Q124="","Thiếu Actual Result",IF(AND(P124="Fail",T124=""),"Thiếu Defect ID",IF(AND(OR(P124="Fail",P124="Blocked"),U124=""),"Thiếu Evidence","Hợp lệ"))))))</f>
        <v/>
      </c>
    </row>
    <row r="125" ht="125" customHeight="1">
      <c r="A125" s="24" t="inlineStr">
        <is>
          <t>COM11-04</t>
        </is>
      </c>
      <c r="B125" s="24" t="inlineStr">
        <is>
          <t>COM11-04</t>
        </is>
      </c>
      <c r="C125" s="24" t="inlineStr">
        <is>
          <t>UC-COM-11</t>
        </is>
      </c>
      <c r="D125" s="24" t="inlineStr">
        <is>
          <t>Item PENDING/IN_PROGRESS quá due_at</t>
        </is>
      </c>
      <c r="E125" s="24" t="inlineStr">
        <is>
          <t>GET</t>
        </is>
      </c>
      <c r="F125" s="24" t="inlineStr">
        <is>
          <t>{{base_url}}/api/v1/common/work-items/?company_id={{c1_id}}&amp;branch_id={{b1_id}}</t>
        </is>
      </c>
      <c r="G125" s="24" t="inlineStr">
        <is>
          <t>{{access_token}} – actor theo TEST_DATA</t>
        </is>
      </c>
      <c r="H125" s="24" t="inlineStr">
        <is>
          <t>Các biến {{...}} trong path phải lấy từ response/seed; xem cột chuẩn bị dữ liệu.</t>
        </is>
      </c>
      <c r="I125" s="24" t="inlineStr">
        <is>
          <t>company_id={{c1_id}}
branch_id={{b1_id}}</t>
        </is>
      </c>
      <c r="J125" s="24" t="inlineStr">
        <is>
          <t>Authorization: Bearer {{access_token}}
Accept: application/json
Content-Type: application/json</t>
        </is>
      </c>
      <c r="K125" s="24" t="inlineStr">
        <is>
          <t>Không có body</t>
        </is>
      </c>
      <c r="L125"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25" s="24" t="inlineStr">
        <is>
          <t>200</t>
        </is>
      </c>
      <c r="N125" s="24" t="inlineStr">
        <is>
          <t>Tự chuyển OVERDUE; tạo history đúng, không tạo lặp mỗi lần GET</t>
        </is>
      </c>
      <c r="O125" s="24" t="inlineStr">
        <is>
          <t>pm.test('HTTP thuộc [200]', () =&gt; pm.expect([200]).to.include(pm.response.code));
pm.test('Response không lộ secret', () =&gt; { const t=pm.response.text().toLowerCase(); ['password','refresh_token','access_token','otp_code'].forEach(k =&gt; pm.expect(t).not.to.include(k)); });</t>
        </is>
      </c>
      <c r="P125" s="25" t="inlineStr">
        <is>
          <t>Not Run</t>
        </is>
      </c>
      <c r="Q125" s="25" t="inlineStr"/>
      <c r="R125" s="25" t="inlineStr"/>
      <c r="S125" s="25" t="inlineStr"/>
      <c r="T125" s="25" t="inlineStr"/>
      <c r="U125" s="25" t="inlineStr"/>
      <c r="V125" s="24">
        <f>IF(P125="Not Run","Chưa chạy",IF(R125="","Thiếu Tester",IF(S125="","Thiếu Ngày chạy",IF(Q125="","Thiếu Actual Result",IF(AND(P125="Fail",T125=""),"Thiếu Defect ID",IF(AND(OR(P125="Fail",P125="Blocked"),U125=""),"Thiếu Evidence","Hợp lệ"))))))</f>
        <v/>
      </c>
    </row>
    <row r="126" ht="125" customHeight="1">
      <c r="A126" s="24" t="inlineStr">
        <is>
          <t>COM11-05</t>
        </is>
      </c>
      <c r="B126" s="24" t="inlineStr">
        <is>
          <t>COM11-05</t>
        </is>
      </c>
      <c r="C126" s="24" t="inlineStr">
        <is>
          <t>UC-COM-11</t>
        </is>
      </c>
      <c r="D126" s="24" t="inlineStr">
        <is>
          <t>Lọc task_type/status/priority/q/due_from/due_to</t>
        </is>
      </c>
      <c r="E126" s="24" t="inlineStr">
        <is>
          <t>GET</t>
        </is>
      </c>
      <c r="F126" s="24" t="inlineStr">
        <is>
          <t>{{base_url}}/api/v1/common/work-items/?company_id={{c1_id}}&amp;branch_id={{b1_id}}</t>
        </is>
      </c>
      <c r="G126" s="24" t="inlineStr">
        <is>
          <t>{{access_token}} – actor theo TEST_DATA</t>
        </is>
      </c>
      <c r="H126" s="24" t="inlineStr">
        <is>
          <t>Các biến {{...}} trong path phải lấy từ response/seed; xem cột chuẩn bị dữ liệu.</t>
        </is>
      </c>
      <c r="I126" s="24" t="inlineStr">
        <is>
          <t>company_id={{c1_id}}
branch_id={{b1_id}}</t>
        </is>
      </c>
      <c r="J126" s="24" t="inlineStr">
        <is>
          <t>Authorization: Bearer {{access_token}}
Accept: application/json
Content-Type: application/json</t>
        </is>
      </c>
      <c r="K126" s="24" t="inlineStr">
        <is>
          <t>Không có body</t>
        </is>
      </c>
      <c r="L126"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26" s="24" t="inlineStr">
        <is>
          <t>200</t>
        </is>
      </c>
      <c r="N126" s="24" t="inlineStr">
        <is>
          <t>Kết quả đúng giao của bộ lọc</t>
        </is>
      </c>
      <c r="O126" s="24" t="inlineStr">
        <is>
          <t>pm.test('HTTP thuộc [200]', () =&gt; pm.expect([200]).to.include(pm.response.code));
pm.test('Response không lộ secret', () =&gt; { const t=pm.response.text().toLowerCase(); ['password','refresh_token','access_token','otp_code'].forEach(k =&gt; pm.expect(t).not.to.include(k)); });</t>
        </is>
      </c>
      <c r="P126" s="25" t="inlineStr">
        <is>
          <t>Not Run</t>
        </is>
      </c>
      <c r="Q126" s="25" t="inlineStr"/>
      <c r="R126" s="25" t="inlineStr"/>
      <c r="S126" s="25" t="inlineStr"/>
      <c r="T126" s="25" t="inlineStr"/>
      <c r="U126" s="25" t="inlineStr"/>
      <c r="V126" s="24">
        <f>IF(P126="Not Run","Chưa chạy",IF(R126="","Thiếu Tester",IF(S126="","Thiếu Ngày chạy",IF(Q126="","Thiếu Actual Result",IF(AND(P126="Fail",T126=""),"Thiếu Defect ID",IF(AND(OR(P126="Fail",P126="Blocked"),U126=""),"Thiếu Evidence","Hợp lệ"))))))</f>
        <v/>
      </c>
    </row>
    <row r="127" ht="125" customHeight="1">
      <c r="A127" s="24" t="inlineStr">
        <is>
          <t>COM11-06</t>
        </is>
      </c>
      <c r="B127" s="24" t="inlineStr">
        <is>
          <t>COM11-06</t>
        </is>
      </c>
      <c r="C127" s="24" t="inlineStr">
        <is>
          <t>UC-COM-11</t>
        </is>
      </c>
      <c r="D127" s="24" t="inlineStr">
        <is>
          <t>Sắp xếp mặc định và theo due_at/created_at</t>
        </is>
      </c>
      <c r="E127" s="24" t="inlineStr">
        <is>
          <t>GET</t>
        </is>
      </c>
      <c r="F127" s="24" t="inlineStr">
        <is>
          <t>{{base_url}}/api/v1/common/work-items/?company_id={{c1_id}}&amp;branch_id={{b1_id}}</t>
        </is>
      </c>
      <c r="G127" s="24" t="inlineStr">
        <is>
          <t>{{access_token}} – actor theo TEST_DATA</t>
        </is>
      </c>
      <c r="H127" s="24" t="inlineStr">
        <is>
          <t>Các biến {{...}} trong path phải lấy từ response/seed; xem cột chuẩn bị dữ liệu.</t>
        </is>
      </c>
      <c r="I127" s="24" t="inlineStr">
        <is>
          <t>company_id={{c1_id}}
branch_id={{b1_id}}</t>
        </is>
      </c>
      <c r="J127" s="24" t="inlineStr">
        <is>
          <t>Authorization: Bearer {{access_token}}
Accept: application/json
Content-Type: application/json</t>
        </is>
      </c>
      <c r="K127" s="24" t="inlineStr">
        <is>
          <t>Không có body</t>
        </is>
      </c>
      <c r="L127"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27" s="24" t="inlineStr">
        <is>
          <t>200</t>
        </is>
      </c>
      <c r="N127" s="24" t="inlineStr">
        <is>
          <t>OVERDUE trước; URGENT &gt; HIGH &gt; NORMAL; thứ tự ổn định</t>
        </is>
      </c>
      <c r="O127" s="24" t="inlineStr">
        <is>
          <t>pm.test('HTTP thuộc [200]', () =&gt; pm.expect([200]).to.include(pm.response.code));
pm.test('Response không lộ secret', () =&gt; { const t=pm.response.text().toLowerCase(); ['password','refresh_token','access_token','otp_code'].forEach(k =&gt; pm.expect(t).not.to.include(k)); });</t>
        </is>
      </c>
      <c r="P127" s="25" t="inlineStr">
        <is>
          <t>Not Run</t>
        </is>
      </c>
      <c r="Q127" s="25" t="inlineStr"/>
      <c r="R127" s="25" t="inlineStr"/>
      <c r="S127" s="25" t="inlineStr"/>
      <c r="T127" s="25" t="inlineStr"/>
      <c r="U127" s="25" t="inlineStr"/>
      <c r="V127" s="24">
        <f>IF(P127="Not Run","Chưa chạy",IF(R127="","Thiếu Tester",IF(S127="","Thiếu Ngày chạy",IF(Q127="","Thiếu Actual Result",IF(AND(P127="Fail",T127=""),"Thiếu Defect ID",IF(AND(OR(P127="Fail",P127="Blocked"),U127=""),"Thiếu Evidence","Hợp lệ"))))))</f>
        <v/>
      </c>
    </row>
    <row r="128" ht="125" customHeight="1">
      <c r="A128" s="24" t="inlineStr">
        <is>
          <t>COM11-07</t>
        </is>
      </c>
      <c r="B128" s="24" t="inlineStr">
        <is>
          <t>COM11-07</t>
        </is>
      </c>
      <c r="C128" s="24" t="inlineStr">
        <is>
          <t>UC-COM-11</t>
        </is>
      </c>
      <c r="D128" s="24" t="inlineStr">
        <is>
          <t>Count việc đang mở</t>
        </is>
      </c>
      <c r="E128" s="24" t="inlineStr">
        <is>
          <t>GET</t>
        </is>
      </c>
      <c r="F128" s="24" t="inlineStr">
        <is>
          <t>{{base_url}}/api/v1/common/work-items/count/?company_id={{c1_id}}&amp;branch_id={{b1_id}}</t>
        </is>
      </c>
      <c r="G128" s="24" t="inlineStr">
        <is>
          <t>{{access_token}} – actor theo TEST_DATA</t>
        </is>
      </c>
      <c r="H128" s="24" t="inlineStr">
        <is>
          <t>Các biến {{...}} trong path phải lấy từ response/seed; xem cột chuẩn bị dữ liệu.</t>
        </is>
      </c>
      <c r="I128" s="24" t="inlineStr">
        <is>
          <t>company_id={{c1_id}}
branch_id={{b1_id}}</t>
        </is>
      </c>
      <c r="J128" s="24" t="inlineStr">
        <is>
          <t>Authorization: Bearer {{access_token}}
Accept: application/json
Content-Type: application/json</t>
        </is>
      </c>
      <c r="K128" s="24" t="inlineStr">
        <is>
          <t>Không có body</t>
        </is>
      </c>
      <c r="L128"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28" s="24" t="inlineStr">
        <is>
          <t>200</t>
        </is>
      </c>
      <c r="N128" s="24" t="inlineStr">
        <is>
          <t>Chỉ đếm PENDING/IN_PROGRESS/OVERDUE trong phạm vi nhìn thấy</t>
        </is>
      </c>
      <c r="O128" s="24" t="inlineStr">
        <is>
          <t>pm.test('HTTP thuộc [200]', () =&gt; pm.expect([200]).to.include(pm.response.code));
pm.test('Response không lộ secret', () =&gt; { const t=pm.response.text().toLowerCase(); ['password','refresh_token','access_token','otp_code'].forEach(k =&gt; pm.expect(t).not.to.include(k)); });</t>
        </is>
      </c>
      <c r="P128" s="25" t="inlineStr">
        <is>
          <t>Not Run</t>
        </is>
      </c>
      <c r="Q128" s="25" t="inlineStr"/>
      <c r="R128" s="25" t="inlineStr"/>
      <c r="S128" s="25" t="inlineStr"/>
      <c r="T128" s="25" t="inlineStr"/>
      <c r="U128" s="25" t="inlineStr"/>
      <c r="V128" s="24">
        <f>IF(P128="Not Run","Chưa chạy",IF(R128="","Thiếu Tester",IF(S128="","Thiếu Ngày chạy",IF(Q128="","Thiếu Actual Result",IF(AND(P128="Fail",T128=""),"Thiếu Defect ID",IF(AND(OR(P128="Fail",P128="Blocked"),U128=""),"Thiếu Evidence","Hợp lệ"))))))</f>
        <v/>
      </c>
    </row>
    <row r="129" ht="125" customHeight="1">
      <c r="A129" s="24" t="inlineStr">
        <is>
          <t>COM11-08</t>
        </is>
      </c>
      <c r="B129" s="24" t="inlineStr">
        <is>
          <t>COM11-08</t>
        </is>
      </c>
      <c r="C129" s="24" t="inlineStr">
        <is>
          <t>UC-COM-11</t>
        </is>
      </c>
      <c r="D129" s="24" t="inlineStr">
        <is>
          <t>Open item hợp lệ</t>
        </is>
      </c>
      <c r="E129" s="24" t="inlineStr">
        <is>
          <t>POST</t>
        </is>
      </c>
      <c r="F129" s="24" t="inlineStr">
        <is>
          <t>{{base_url}}/api/v1/common/work-items/{{work_item_id}}/open/?company_id={{c1_id}}&amp;branch_id={{b1_id}}</t>
        </is>
      </c>
      <c r="G129" s="24" t="inlineStr">
        <is>
          <t>{{access_token}} – actor theo TEST_DATA</t>
        </is>
      </c>
      <c r="H129" s="24" t="inlineStr">
        <is>
          <t>Các biến {{...}} trong path phải lấy từ response/seed; xem cột chuẩn bị dữ liệu.</t>
        </is>
      </c>
      <c r="I129" s="24" t="inlineStr">
        <is>
          <t>company_id={{c1_id}}
branch_id={{b1_id}}</t>
        </is>
      </c>
      <c r="J129" s="24" t="inlineStr">
        <is>
          <t>Authorization: Bearer {{access_token}}
Accept: application/json
Content-Type: application/json</t>
        </is>
      </c>
      <c r="K129" s="24" t="inlineStr">
        <is>
          <t>{}</t>
        </is>
      </c>
      <c r="L129"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29" s="24" t="inlineStr">
        <is>
          <t>200</t>
        </is>
      </c>
      <c r="N129" s="24" t="inlineStr">
        <is>
          <t>Re-check entity/permission/scope; chuyển sang IN_PROGRESS nếu phù hợp; trả link; ghi history</t>
        </is>
      </c>
      <c r="O129" s="24" t="inlineStr">
        <is>
          <t>pm.test('HTTP thuộc [200]', () =&gt; pm.expect([200]).to.include(pm.response.code));
pm.test('Response không lộ secret', () =&gt; { const t=pm.response.text().toLowerCase(); ['password','refresh_token','access_token','otp_code'].forEach(k =&gt; pm.expect(t).not.to.include(k)); });</t>
        </is>
      </c>
      <c r="P129" s="25" t="inlineStr">
        <is>
          <t>Not Run</t>
        </is>
      </c>
      <c r="Q129" s="25" t="inlineStr"/>
      <c r="R129" s="25" t="inlineStr"/>
      <c r="S129" s="25" t="inlineStr"/>
      <c r="T129" s="25" t="inlineStr"/>
      <c r="U129" s="25" t="inlineStr"/>
      <c r="V129" s="24">
        <f>IF(P129="Not Run","Chưa chạy",IF(R129="","Thiếu Tester",IF(S129="","Thiếu Ngày chạy",IF(Q129="","Thiếu Actual Result",IF(AND(P129="Fail",T129=""),"Thiếu Defect ID",IF(AND(OR(P129="Fail",P129="Blocked"),U129=""),"Thiếu Evidence","Hợp lệ"))))))</f>
        <v/>
      </c>
    </row>
    <row r="130" ht="125" customHeight="1">
      <c r="A130" s="24" t="inlineStr">
        <is>
          <t>COM11-09</t>
        </is>
      </c>
      <c r="B130" s="24" t="inlineStr">
        <is>
          <t>COM11-09</t>
        </is>
      </c>
      <c r="C130" s="24" t="inlineStr">
        <is>
          <t>UC-COM-11</t>
        </is>
      </c>
      <c r="D130" s="24" t="inlineStr">
        <is>
          <t>Entity không còn khả dụng hoặc permission bị thu hồi</t>
        </is>
      </c>
      <c r="E130" s="24" t="inlineStr">
        <is>
          <t>POST</t>
        </is>
      </c>
      <c r="F130" s="24" t="inlineStr">
        <is>
          <t>{{base_url}}/api/v1/common/work-items/{{work_item_id}}/open/?company_id={{c1_id}}&amp;branch_id={{b1_id}}</t>
        </is>
      </c>
      <c r="G130" s="24" t="inlineStr">
        <is>
          <t>{{access_token}} – actor theo TEST_DATA</t>
        </is>
      </c>
      <c r="H130" s="24" t="inlineStr">
        <is>
          <t>Các biến {{...}} trong path phải lấy từ response/seed; xem cột chuẩn bị dữ liệu.</t>
        </is>
      </c>
      <c r="I130" s="24" t="inlineStr">
        <is>
          <t>company_id={{c1_id}}
branch_id={{b1_id}}</t>
        </is>
      </c>
      <c r="J130" s="24" t="inlineStr">
        <is>
          <t>Authorization: Bearer {{access_token}}
Accept: application/json
Content-Type: application/json</t>
        </is>
      </c>
      <c r="K130" s="24" t="inlineStr">
        <is>
          <t>{}</t>
        </is>
      </c>
      <c r="L130"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30" s="24" t="inlineStr">
        <is>
          <t>200</t>
        </is>
      </c>
      <c r="N130" s="24" t="inlineStr">
        <is>
          <t>Không mở; item được cancel/ẩn theo rule; không lộ link đích</t>
        </is>
      </c>
      <c r="O130" s="24" t="inlineStr">
        <is>
          <t>pm.test('HTTP thuộc [200]', () =&gt; pm.expect([200]).to.include(pm.response.code));
pm.test('Response không lộ secret', () =&gt; { const t=pm.response.text().toLowerCase(); ['password','refresh_token','access_token','otp_code'].forEach(k =&gt; pm.expect(t).not.to.include(k)); });</t>
        </is>
      </c>
      <c r="P130" s="25" t="inlineStr">
        <is>
          <t>Not Run</t>
        </is>
      </c>
      <c r="Q130" s="25" t="inlineStr"/>
      <c r="R130" s="25" t="inlineStr"/>
      <c r="S130" s="25" t="inlineStr"/>
      <c r="T130" s="25" t="inlineStr"/>
      <c r="U130" s="25" t="inlineStr"/>
      <c r="V130" s="24">
        <f>IF(P130="Not Run","Chưa chạy",IF(R130="","Thiếu Tester",IF(S130="","Thiếu Ngày chạy",IF(Q130="","Thiếu Actual Result",IF(AND(P130="Fail",T130=""),"Thiếu Defect ID",IF(AND(OR(P130="Fail",P130="Blocked"),U130=""),"Thiếu Evidence","Hợp lệ"))))))</f>
        <v/>
      </c>
    </row>
    <row r="131" ht="125" customHeight="1">
      <c r="A131" s="24" t="inlineStr">
        <is>
          <t>COM11-10</t>
        </is>
      </c>
      <c r="B131" s="24" t="inlineStr">
        <is>
          <t>COM11-10</t>
        </is>
      </c>
      <c r="C131" s="24" t="inlineStr">
        <is>
          <t>UC-COM-11</t>
        </is>
      </c>
      <c r="D131" s="24" t="inlineStr">
        <is>
          <t>Xem history</t>
        </is>
      </c>
      <c r="E131" s="24" t="inlineStr">
        <is>
          <t>GET</t>
        </is>
      </c>
      <c r="F131" s="24" t="inlineStr">
        <is>
          <t>{{base_url}}/api/v1/common/work-items/{{work_item_id}}/history/?company_id={{c1_id}}&amp;branch_id={{b1_id}}</t>
        </is>
      </c>
      <c r="G131" s="24" t="inlineStr">
        <is>
          <t>{{access_token}} – actor theo TEST_DATA</t>
        </is>
      </c>
      <c r="H131" s="24" t="inlineStr">
        <is>
          <t>Các biến {{...}} trong path phải lấy từ response/seed; xem cột chuẩn bị dữ liệu.</t>
        </is>
      </c>
      <c r="I131" s="24" t="inlineStr">
        <is>
          <t>company_id={{c1_id}}
branch_id={{b1_id}}</t>
        </is>
      </c>
      <c r="J131" s="24" t="inlineStr">
        <is>
          <t>Authorization: Bearer {{access_token}}
Accept: application/json
Content-Type: application/json</t>
        </is>
      </c>
      <c r="K131" s="24" t="inlineStr">
        <is>
          <t>Không có body</t>
        </is>
      </c>
      <c r="L131"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31" s="24" t="inlineStr">
        <is>
          <t>200</t>
        </is>
      </c>
      <c r="N131" s="24" t="inlineStr">
        <is>
          <t>Đúng thứ tự thời gian, trạng thái trước/sau, actor, reason; chỉ user được thấy item mới thấy history</t>
        </is>
      </c>
      <c r="O131" s="24" t="inlineStr">
        <is>
          <t>pm.test('HTTP thuộc [200]', () =&gt; pm.expect([200]).to.include(pm.response.code));
pm.test('Response không lộ secret', () =&gt; { const t=pm.response.text().toLowerCase(); ['password','refresh_token','access_token','otp_code'].forEach(k =&gt; pm.expect(t).not.to.include(k)); });</t>
        </is>
      </c>
      <c r="P131" s="25" t="inlineStr">
        <is>
          <t>Not Run</t>
        </is>
      </c>
      <c r="Q131" s="25" t="inlineStr"/>
      <c r="R131" s="25" t="inlineStr"/>
      <c r="S131" s="25" t="inlineStr"/>
      <c r="T131" s="25" t="inlineStr"/>
      <c r="U131" s="25" t="inlineStr"/>
      <c r="V131" s="24">
        <f>IF(P131="Not Run","Chưa chạy",IF(R131="","Thiếu Tester",IF(S131="","Thiếu Ngày chạy",IF(Q131="","Thiếu Actual Result",IF(AND(P131="Fail",T131=""),"Thiếu Defect ID",IF(AND(OR(P131="Fail",P131="Blocked"),U131=""),"Thiếu Evidence","Hợp lệ"))))))</f>
        <v/>
      </c>
    </row>
    <row r="132" ht="125" customHeight="1">
      <c r="A132" s="24" t="inlineStr">
        <is>
          <t>COM11-11</t>
        </is>
      </c>
      <c r="B132" s="24" t="inlineStr">
        <is>
          <t>COM11-11</t>
        </is>
      </c>
      <c r="C132" s="24" t="inlineStr">
        <is>
          <t>UC-COM-11</t>
        </is>
      </c>
      <c r="D132" s="24" t="inlineStr">
        <is>
          <t>Tạo cùng dedupe_key nhiều lần/đồng thời</t>
        </is>
      </c>
      <c r="E132" s="24" t="inlineStr">
        <is>
          <t>GET</t>
        </is>
      </c>
      <c r="F132" s="24" t="inlineStr">
        <is>
          <t>{{base_url}}/api/v1/common/work-items/?company_id={{c1_id}}&amp;branch_id={{b1_id}}</t>
        </is>
      </c>
      <c r="G132" s="24" t="inlineStr">
        <is>
          <t>{{access_token}} – actor theo TEST_DATA</t>
        </is>
      </c>
      <c r="H132" s="24" t="inlineStr">
        <is>
          <t>Các biến {{...}} trong path phải lấy từ response/seed; xem cột chuẩn bị dữ liệu.</t>
        </is>
      </c>
      <c r="I132" s="24" t="inlineStr">
        <is>
          <t>company_id={{c1_id}}
branch_id={{b1_id}}</t>
        </is>
      </c>
      <c r="J132" s="24" t="inlineStr">
        <is>
          <t>Authorization: Bearer {{access_token}}
Accept: application/json
Content-Type: application/json</t>
        </is>
      </c>
      <c r="K132" s="24" t="inlineStr">
        <is>
          <t>Không có body</t>
        </is>
      </c>
      <c r="L132"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
4. Dùng Postman Runner/Newman hoặc hai cửa sổ gửi request gần như đồng thời.</t>
        </is>
      </c>
      <c r="M132" s="24" t="inlineStr">
        <is>
          <t>200</t>
        </is>
      </c>
      <c r="N132" s="24" t="inlineStr">
        <is>
          <t>Chỉ một active work-item; không vi phạm unique/không lỗi 5xx</t>
        </is>
      </c>
      <c r="O132" s="24" t="inlineStr">
        <is>
          <t>pm.test('HTTP thuộc [200]', () =&gt; pm.expect([200]).to.include(pm.response.code));
pm.test('Response không lộ secret', () =&gt; { const t=pm.response.text().toLowerCase(); ['password','refresh_token','access_token','otp_code'].forEach(k =&gt; pm.expect(t).not.to.include(k)); });</t>
        </is>
      </c>
      <c r="P132" s="25" t="inlineStr">
        <is>
          <t>Not Run</t>
        </is>
      </c>
      <c r="Q132" s="25" t="inlineStr"/>
      <c r="R132" s="25" t="inlineStr"/>
      <c r="S132" s="25" t="inlineStr"/>
      <c r="T132" s="25" t="inlineStr"/>
      <c r="U132" s="25" t="inlineStr"/>
      <c r="V132" s="24">
        <f>IF(P132="Not Run","Chưa chạy",IF(R132="","Thiếu Tester",IF(S132="","Thiếu Ngày chạy",IF(Q132="","Thiếu Actual Result",IF(AND(P132="Fail",T132=""),"Thiếu Defect ID",IF(AND(OR(P132="Fail",P132="Blocked"),U132=""),"Thiếu Evidence","Hợp lệ"))))))</f>
        <v/>
      </c>
    </row>
    <row r="133" ht="125" customHeight="1">
      <c r="A133" s="24" t="inlineStr">
        <is>
          <t>COM11-12</t>
        </is>
      </c>
      <c r="B133" s="24" t="inlineStr">
        <is>
          <t>COM11-12</t>
        </is>
      </c>
      <c r="C133" s="24" t="inlineStr">
        <is>
          <t>UC-COM-11</t>
        </is>
      </c>
      <c r="D133" s="24" t="inlineStr">
        <is>
          <t>Chuyển trạng thái không hợp lệ, ví dụ OVERDUE → COMPLETED nếu rule cấm</t>
        </is>
      </c>
      <c r="E133" s="24" t="inlineStr">
        <is>
          <t>GET</t>
        </is>
      </c>
      <c r="F133" s="24" t="inlineStr">
        <is>
          <t>{{base_url}}/api/v1/common/work-items/?company_id={{c1_id}}&amp;branch_id={{b1_id}}</t>
        </is>
      </c>
      <c r="G133" s="24" t="inlineStr">
        <is>
          <t>{{access_token}} – actor theo TEST_DATA</t>
        </is>
      </c>
      <c r="H133" s="24" t="inlineStr">
        <is>
          <t>Các biến {{...}} trong path phải lấy từ response/seed; xem cột chuẩn bị dữ liệu.</t>
        </is>
      </c>
      <c r="I133" s="24" t="inlineStr">
        <is>
          <t>company_id={{c1_id}}
branch_id={{b1_id}}</t>
        </is>
      </c>
      <c r="J133" s="24" t="inlineStr">
        <is>
          <t>Authorization: Bearer {{access_token}}
Accept: application/json
Content-Type: application/json</t>
        </is>
      </c>
      <c r="K133" s="24" t="inlineStr">
        <is>
          <t>Không có body</t>
        </is>
      </c>
      <c r="L133"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33" s="24" t="inlineStr">
        <is>
          <t>200</t>
        </is>
      </c>
      <c r="N133" s="24" t="inlineStr">
        <is>
          <t>Bị từ chối; trạng thái/history không thay đổi</t>
        </is>
      </c>
      <c r="O133" s="24" t="inlineStr">
        <is>
          <t>pm.test('HTTP thuộc [200]', () =&gt; pm.expect([200]).to.include(pm.response.code));
pm.test('Response không lộ secret', () =&gt; { const t=pm.response.text().toLowerCase(); ['password','refresh_token','access_token','otp_code'].forEach(k =&gt; pm.expect(t).not.to.include(k)); });</t>
        </is>
      </c>
      <c r="P133" s="25" t="inlineStr">
        <is>
          <t>Not Run</t>
        </is>
      </c>
      <c r="Q133" s="25" t="inlineStr"/>
      <c r="R133" s="25" t="inlineStr"/>
      <c r="S133" s="25" t="inlineStr"/>
      <c r="T133" s="25" t="inlineStr"/>
      <c r="U133" s="25" t="inlineStr"/>
      <c r="V133" s="24">
        <f>IF(P133="Not Run","Chưa chạy",IF(R133="","Thiếu Tester",IF(S133="","Thiếu Ngày chạy",IF(Q133="","Thiếu Actual Result",IF(AND(P133="Fail",T133=""),"Thiếu Defect ID",IF(AND(OR(P133="Fail",P133="Blocked"),U133=""),"Thiếu Evidence","Hợp lệ"))))))</f>
        <v/>
      </c>
    </row>
    <row r="134" ht="125" customHeight="1">
      <c r="A134" s="24" t="inlineStr">
        <is>
          <t>COM12-01</t>
        </is>
      </c>
      <c r="B134" s="24" t="inlineStr">
        <is>
          <t>COM12-01</t>
        </is>
      </c>
      <c r="C134" s="24" t="inlineStr">
        <is>
          <t>UC-COM-12</t>
        </is>
      </c>
      <c r="D134" s="24" t="inlineStr">
        <is>
          <t>User không có COM.AI.USE</t>
        </is>
      </c>
      <c r="E134" s="24" t="inlineStr">
        <is>
          <t>POST</t>
        </is>
      </c>
      <c r="F134" s="24" t="inlineStr">
        <is>
          <t>{{base_url}}/api/v1/common/ai/query/</t>
        </is>
      </c>
      <c r="G134" s="24" t="inlineStr">
        <is>
          <t>{{access_token}} – actor theo TEST_DATA</t>
        </is>
      </c>
      <c r="H134" s="24" t="inlineStr">
        <is>
          <t>Các biến {{...}} trong path phải lấy từ response/seed; xem cột chuẩn bị dữ liệu.</t>
        </is>
      </c>
      <c r="I134" s="24" t="inlineStr">
        <is>
          <t>Không có</t>
        </is>
      </c>
      <c r="J134" s="24" t="inlineStr">
        <is>
          <t>Authorization: Bearer {{access_token}}
Accept: application/json
Content-Type: application/json</t>
        </is>
      </c>
      <c r="K134" s="24" t="inlineStr">
        <is>
          <t>{
  "company": "{{c1_id}}",
  "conversation": "{{ai_conversation_id}}",
  "question": "{{ai_question}}",
  "request_type": "ANALYSIS",
  "request_id": "{{$guid}}",
  "context": {"screen": "dashboard"}
}</t>
        </is>
      </c>
      <c r="L134"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34" s="24" t="inlineStr">
        <is>
          <t>403</t>
        </is>
      </c>
      <c r="N134" s="24" t="inlineStr">
        <is>
          <t>403; không gọi provider và không lưu dữ liệu nhạy cảm</t>
        </is>
      </c>
      <c r="O134" s="24" t="inlineStr">
        <is>
          <t>pm.test('HTTP thuộc [403]', () =&gt; pm.expect([403]).to.include(pm.response.code));
pm.test('Response không lộ secret', () =&gt; { const t=pm.response.text().toLowerCase(); ['password','refresh_token','access_token','otp_code'].forEach(k =&gt; pm.expect(t).not.to.include(k)); });</t>
        </is>
      </c>
      <c r="P134" s="25" t="inlineStr">
        <is>
          <t>Not Run</t>
        </is>
      </c>
      <c r="Q134" s="25" t="inlineStr"/>
      <c r="R134" s="25" t="inlineStr"/>
      <c r="S134" s="25" t="inlineStr"/>
      <c r="T134" s="25" t="inlineStr"/>
      <c r="U134" s="25" t="inlineStr"/>
      <c r="V134" s="24">
        <f>IF(P134="Not Run","Chưa chạy",IF(R134="","Thiếu Tester",IF(S134="","Thiếu Ngày chạy",IF(Q134="","Thiếu Actual Result",IF(AND(P134="Fail",T134=""),"Thiếu Defect ID",IF(AND(OR(P134="Fail",P134="Blocked"),U134=""),"Thiếu Evidence","Hợp lệ"))))))</f>
        <v/>
      </c>
    </row>
    <row r="135" ht="125" customHeight="1">
      <c r="A135" s="24" t="inlineStr">
        <is>
          <t>COM12-02</t>
        </is>
      </c>
      <c r="B135" s="24" t="inlineStr">
        <is>
          <t>COM12-02</t>
        </is>
      </c>
      <c r="C135" s="24" t="inlineStr">
        <is>
          <t>UC-COM-12</t>
        </is>
      </c>
      <c r="D135" s="24" t="inlineStr">
        <is>
          <t>AI bị tắt ở company</t>
        </is>
      </c>
      <c r="E135" s="24" t="inlineStr">
        <is>
          <t>POST</t>
        </is>
      </c>
      <c r="F135" s="24" t="inlineStr">
        <is>
          <t>{{base_url}}/api/v1/common/ai/query/</t>
        </is>
      </c>
      <c r="G135" s="24" t="inlineStr">
        <is>
          <t>{{access_token}} – actor theo TEST_DATA</t>
        </is>
      </c>
      <c r="H135" s="24" t="inlineStr">
        <is>
          <t>Các biến {{...}} trong path phải lấy từ response/seed; xem cột chuẩn bị dữ liệu.</t>
        </is>
      </c>
      <c r="I135" s="24" t="inlineStr">
        <is>
          <t>Không có</t>
        </is>
      </c>
      <c r="J135" s="24" t="inlineStr">
        <is>
          <t>Authorization: Bearer {{access_token}}
Accept: application/json
Content-Type: application/json</t>
        </is>
      </c>
      <c r="K135" s="24" t="inlineStr">
        <is>
          <t>{
  "company": "{{c1_id}}",
  "conversation": "{{ai_conversation_id}}",
  "question": "{{ai_question}}",
  "request_type": "ANALYSIS",
  "request_id": "{{$guid}}",
  "context": {"screen": "dashboard"}
}</t>
        </is>
      </c>
      <c r="L135"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35" s="24" t="inlineStr">
        <is>
          <t>503</t>
        </is>
      </c>
      <c r="N135" s="24" t="inlineStr">
        <is>
          <t>503, status UNAVAILABLE, có hướng dẫn dùng chức năng thủ công</t>
        </is>
      </c>
      <c r="O135" s="24" t="inlineStr">
        <is>
          <t>pm.test('HTTP thuộc [503]', () =&gt; pm.expect([503]).to.include(pm.response.code));
pm.test('Response không lộ secret', () =&gt; { const t=pm.response.text().toLowerCase(); ['password','refresh_token','access_token','otp_code'].forEach(k =&gt; pm.expect(t).not.to.include(k)); });</t>
        </is>
      </c>
      <c r="P135" s="25" t="inlineStr">
        <is>
          <t>Not Run</t>
        </is>
      </c>
      <c r="Q135" s="25" t="inlineStr"/>
      <c r="R135" s="25" t="inlineStr"/>
      <c r="S135" s="25" t="inlineStr"/>
      <c r="T135" s="25" t="inlineStr"/>
      <c r="U135" s="25" t="inlineStr"/>
      <c r="V135" s="24">
        <f>IF(P135="Not Run","Chưa chạy",IF(R135="","Thiếu Tester",IF(S135="","Thiếu Ngày chạy",IF(Q135="","Thiếu Actual Result",IF(AND(P135="Fail",T135=""),"Thiếu Defect ID",IF(AND(OR(P135="Fail",P135="Blocked"),U135=""),"Thiếu Evidence","Hợp lệ"))))))</f>
        <v/>
      </c>
    </row>
    <row r="136" ht="125" customHeight="1">
      <c r="A136" s="24" t="inlineStr">
        <is>
          <t>COM12-03</t>
        </is>
      </c>
      <c r="B136" s="24" t="inlineStr">
        <is>
          <t>COM12-03</t>
        </is>
      </c>
      <c r="C136" s="24" t="inlineStr">
        <is>
          <t>UC-COM-12</t>
        </is>
      </c>
      <c r="D136" s="24" t="inlineStr">
        <is>
          <t>AI bật nhưng dữ liệu trong scope không đủ</t>
        </is>
      </c>
      <c r="E136" s="24" t="inlineStr">
        <is>
          <t>POST</t>
        </is>
      </c>
      <c r="F136" s="24" t="inlineStr">
        <is>
          <t>{{base_url}}/api/v1/common/ai/query/</t>
        </is>
      </c>
      <c r="G136" s="24" t="inlineStr">
        <is>
          <t>{{access_token}} – actor theo TEST_DATA</t>
        </is>
      </c>
      <c r="H136" s="24" t="inlineStr">
        <is>
          <t>Các biến {{...}} trong path phải lấy từ response/seed; xem cột chuẩn bị dữ liệu.</t>
        </is>
      </c>
      <c r="I136" s="24" t="inlineStr">
        <is>
          <t>Không có</t>
        </is>
      </c>
      <c r="J136" s="24" t="inlineStr">
        <is>
          <t>Authorization: Bearer {{access_token}}
Accept: application/json
Content-Type: application/json</t>
        </is>
      </c>
      <c r="K136" s="24" t="inlineStr">
        <is>
          <t>{
  "company": "{{c1_id}}",
  "conversation": "{{ai_conversation_id}}",
  "question": "{{ai_question}}",
  "request_type": "ANALYSIS",
  "request_id": "{{$guid}}",
  "context": {"screen": "dashboard"}
}</t>
        </is>
      </c>
      <c r="L136"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36" s="24" t="inlineStr">
        <is>
          <t>201</t>
        </is>
      </c>
      <c r="N136" s="24" t="inlineStr">
        <is>
          <t>201, status INSUFFICIENT_DATA, không bịa nguồn/kết luận</t>
        </is>
      </c>
      <c r="O136" s="24" t="inlineStr">
        <is>
          <t>pm.test('HTTP thuộc [201]', () =&gt; pm.expect([201]).to.include(pm.response.code));
pm.test('Response không lộ secret', () =&gt; { const t=pm.response.text().toLowerCase(); ['password','refresh_token','access_token','otp_code'].forEach(k =&gt; pm.expect(t).not.to.include(k)); });</t>
        </is>
      </c>
      <c r="P136" s="25" t="inlineStr">
        <is>
          <t>Not Run</t>
        </is>
      </c>
      <c r="Q136" s="25" t="inlineStr"/>
      <c r="R136" s="25" t="inlineStr"/>
      <c r="S136" s="25" t="inlineStr"/>
      <c r="T136" s="25" t="inlineStr"/>
      <c r="U136" s="25" t="inlineStr"/>
      <c r="V136" s="24">
        <f>IF(P136="Not Run","Chưa chạy",IF(R136="","Thiếu Tester",IF(S136="","Thiếu Ngày chạy",IF(Q136="","Thiếu Actual Result",IF(AND(P136="Fail",T136=""),"Thiếu Defect ID",IF(AND(OR(P136="Fail",P136="Blocked"),U136=""),"Thiếu Evidence","Hợp lệ"))))))</f>
        <v/>
      </c>
    </row>
    <row r="137" ht="125" customHeight="1">
      <c r="A137" s="24" t="inlineStr">
        <is>
          <t>COM12-04</t>
        </is>
      </c>
      <c r="B137" s="24" t="inlineStr">
        <is>
          <t>COM12-04</t>
        </is>
      </c>
      <c r="C137" s="24" t="inlineStr">
        <is>
          <t>UC-COM-12</t>
        </is>
      </c>
      <c r="D137" s="24" t="inlineStr">
        <is>
          <t>Tạo conversation hợp lệ theo company/branch</t>
        </is>
      </c>
      <c r="E137" s="24" t="inlineStr">
        <is>
          <t>POST</t>
        </is>
      </c>
      <c r="F137" s="24" t="inlineStr">
        <is>
          <t>{{base_url}}/api/v1/common/ai-conversations/</t>
        </is>
      </c>
      <c r="G137" s="24" t="inlineStr">
        <is>
          <t>{{access_token}} – actor theo TEST_DATA</t>
        </is>
      </c>
      <c r="H137" s="24" t="inlineStr">
        <is>
          <t>Các biến {{...}} trong path phải lấy từ response/seed; xem cột chuẩn bị dữ liệu.</t>
        </is>
      </c>
      <c r="I137" s="24" t="inlineStr">
        <is>
          <t>Không có</t>
        </is>
      </c>
      <c r="J137" s="24" t="inlineStr">
        <is>
          <t>Authorization: Bearer {{access_token}}
Accept: application/json
Content-Type: application/json</t>
        </is>
      </c>
      <c r="K137" s="24" t="inlineStr">
        <is>
          <t>{
  "company": "{{c1_id}}",
  "branch": "{{b1_id}}",
  "title": "Phân tích tháng"
}</t>
        </is>
      </c>
      <c r="L137"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37" s="24" t="inlineStr">
        <is>
          <t>201</t>
        </is>
      </c>
      <c r="N137" s="24" t="inlineStr">
        <is>
          <t>201; owner là user hiện tại; branch phải ACTIVE và thuộc company/scope</t>
        </is>
      </c>
      <c r="O137" s="24" t="inlineStr">
        <is>
          <t>pm.test('HTTP thuộc [201]', () =&gt; pm.expect([201]).to.include(pm.response.code));
pm.test('Response không lộ secret', () =&gt; { const t=pm.response.text().toLowerCase(); ['password','refresh_token','access_token','otp_code'].forEach(k =&gt; pm.expect(t).not.to.include(k)); });</t>
        </is>
      </c>
      <c r="P137" s="25" t="inlineStr">
        <is>
          <t>Not Run</t>
        </is>
      </c>
      <c r="Q137" s="25" t="inlineStr"/>
      <c r="R137" s="25" t="inlineStr"/>
      <c r="S137" s="25" t="inlineStr"/>
      <c r="T137" s="25" t="inlineStr"/>
      <c r="U137" s="25" t="inlineStr"/>
      <c r="V137" s="24">
        <f>IF(P137="Not Run","Chưa chạy",IF(R137="","Thiếu Tester",IF(S137="","Thiếu Ngày chạy",IF(Q137="","Thiếu Actual Result",IF(AND(P137="Fail",T137=""),"Thiếu Defect ID",IF(AND(OR(P137="Fail",P137="Blocked"),U137=""),"Thiếu Evidence","Hợp lệ"))))))</f>
        <v/>
      </c>
    </row>
    <row r="138" ht="125" customHeight="1">
      <c r="A138" s="24" t="inlineStr">
        <is>
          <t>COM12-05</t>
        </is>
      </c>
      <c r="B138" s="24" t="inlineStr">
        <is>
          <t>COM12-05</t>
        </is>
      </c>
      <c r="C138" s="24" t="inlineStr">
        <is>
          <t>UC-COM-12</t>
        </is>
      </c>
      <c r="D138" s="24" t="inlineStr">
        <is>
          <t>Xem conversation/interaction của user khác hoặc C2</t>
        </is>
      </c>
      <c r="E138" s="24" t="inlineStr">
        <is>
          <t>POST</t>
        </is>
      </c>
      <c r="F138" s="24" t="inlineStr">
        <is>
          <t>{{base_url}}/api/v1/common/ai-conversations/</t>
        </is>
      </c>
      <c r="G138" s="24" t="inlineStr">
        <is>
          <t>{{token_u4}} – U4 chỉ có C1/B1</t>
        </is>
      </c>
      <c r="H138" s="24" t="inlineStr">
        <is>
          <t>Các biến {{...}} trong path phải lấy từ response/seed; xem cột chuẩn bị dữ liệu.</t>
        </is>
      </c>
      <c r="I138" s="24" t="inlineStr">
        <is>
          <t>Không có</t>
        </is>
      </c>
      <c r="J138" s="24" t="inlineStr">
        <is>
          <t>Authorization: Bearer {{access_token}}
Accept: application/json
Content-Type: application/json</t>
        </is>
      </c>
      <c r="K138" s="24" t="inlineStr">
        <is>
          <t>{
  "company": "{{c1_id}}",
  "branch": "{{b1_id}}",
  "title": "Phân tích tháng"
}</t>
        </is>
      </c>
      <c r="L138"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38" s="24" t="inlineStr">
        <is>
          <t>403, 404</t>
        </is>
      </c>
      <c r="N138" s="24" t="inlineStr">
        <is>
          <t>404/403; không lộ question/context/answer/source</t>
        </is>
      </c>
      <c r="O138" s="24" t="inlineStr">
        <is>
          <t>pm.test('HTTP thuộc [403, 404]', () =&gt; pm.expect([403, 404]).to.include(pm.response.code));
pm.test('Response không lộ secret', () =&gt; { const t=pm.response.text().toLowerCase(); ['password','refresh_token','access_token','otp_code'].forEach(k =&gt; pm.expect(t).not.to.include(k)); });</t>
        </is>
      </c>
      <c r="P138" s="25" t="inlineStr">
        <is>
          <t>Not Run</t>
        </is>
      </c>
      <c r="Q138" s="25" t="inlineStr"/>
      <c r="R138" s="25" t="inlineStr"/>
      <c r="S138" s="25" t="inlineStr"/>
      <c r="T138" s="25" t="inlineStr"/>
      <c r="U138" s="25" t="inlineStr"/>
      <c r="V138" s="24">
        <f>IF(P138="Not Run","Chưa chạy",IF(R138="","Thiếu Tester",IF(S138="","Thiếu Ngày chạy",IF(Q138="","Thiếu Actual Result",IF(AND(P138="Fail",T138=""),"Thiếu Defect ID",IF(AND(OR(P138="Fail",P138="Blocked"),U138=""),"Thiếu Evidence","Hợp lệ"))))))</f>
        <v/>
      </c>
    </row>
    <row r="139" ht="125" customHeight="1">
      <c r="A139" s="24" t="inlineStr">
        <is>
          <t>COM12-06</t>
        </is>
      </c>
      <c r="B139" s="24" t="inlineStr">
        <is>
          <t>COM12-06</t>
        </is>
      </c>
      <c r="C139" s="24" t="inlineStr">
        <is>
          <t>UC-COM-12</t>
        </is>
      </c>
      <c r="D139" s="24" t="inlineStr">
        <is>
          <t>Query hợp lệ theo LOOKUP/EXPLAIN/ANALYSIS/GUIDANCE</t>
        </is>
      </c>
      <c r="E139" s="24" t="inlineStr">
        <is>
          <t>POST</t>
        </is>
      </c>
      <c r="F139" s="24" t="inlineStr">
        <is>
          <t>{{base_url}}/api/v1/common/ai/query/</t>
        </is>
      </c>
      <c r="G139" s="24" t="inlineStr">
        <is>
          <t>{{access_token}} – actor theo TEST_DATA</t>
        </is>
      </c>
      <c r="H139" s="24" t="inlineStr">
        <is>
          <t>Các biến {{...}} trong path phải lấy từ response/seed; xem cột chuẩn bị dữ liệu.</t>
        </is>
      </c>
      <c r="I139" s="24" t="inlineStr">
        <is>
          <t>Không có</t>
        </is>
      </c>
      <c r="J139" s="24" t="inlineStr">
        <is>
          <t>Authorization: Bearer {{access_token}}
Accept: application/json
Content-Type: application/json</t>
        </is>
      </c>
      <c r="K139" s="24" t="inlineStr">
        <is>
          <t>{
  "company": "{{c1_id}}",
  "conversation": "{{ai_conversation_id}}",
  "question": "{{ai_question}}",
  "request_type": "ANALYSIS",
  "request_id": "{{$guid}}",
  "context": {"screen": "dashboard"}
}</t>
        </is>
      </c>
      <c r="L139"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39" s="24" t="inlineStr">
        <is>
          <t>201</t>
        </is>
      </c>
      <c r="N139" s="24" t="inlineStr">
        <is>
          <t>Provider nhận context đã lọc; lưu type, scope snapshot, processing time, disclaimer</t>
        </is>
      </c>
      <c r="O139" s="24" t="inlineStr">
        <is>
          <t>pm.test('HTTP thuộc [201]', () =&gt; pm.expect([201]).to.include(pm.response.code));
pm.test('Response không lộ secret', () =&gt; { const t=pm.response.text().toLowerCase(); ['password','refresh_token','access_token','otp_code'].forEach(k =&gt; pm.expect(t).not.to.include(k)); });</t>
        </is>
      </c>
      <c r="P139" s="25" t="inlineStr">
        <is>
          <t>Not Run</t>
        </is>
      </c>
      <c r="Q139" s="25" t="inlineStr"/>
      <c r="R139" s="25" t="inlineStr"/>
      <c r="S139" s="25" t="inlineStr"/>
      <c r="T139" s="25" t="inlineStr"/>
      <c r="U139" s="25" t="inlineStr"/>
      <c r="V139" s="24">
        <f>IF(P139="Not Run","Chưa chạy",IF(R139="","Thiếu Tester",IF(S139="","Thiếu Ngày chạy",IF(Q139="","Thiếu Actual Result",IF(AND(P139="Fail",T139=""),"Thiếu Defect ID",IF(AND(OR(P139="Fail",P139="Blocked"),U139=""),"Thiếu Evidence","Hợp lệ"))))))</f>
        <v/>
      </c>
    </row>
    <row r="140" ht="125" customHeight="1">
      <c r="A140" s="24" t="inlineStr">
        <is>
          <t>COM12-07</t>
        </is>
      </c>
      <c r="B140" s="24" t="inlineStr">
        <is>
          <t>COM12-07</t>
        </is>
      </c>
      <c r="C140" s="24" t="inlineStr">
        <is>
          <t>UC-COM-12</t>
        </is>
      </c>
      <c r="D140" s="24" t="inlineStr">
        <is>
          <t>Context chứa password/token/secret hoặc dữ liệu ngoài scope</t>
        </is>
      </c>
      <c r="E140" s="24" t="inlineStr">
        <is>
          <t>POST</t>
        </is>
      </c>
      <c r="F140" s="24" t="inlineStr">
        <is>
          <t>{{base_url}}/api/v1/common/ai/query/</t>
        </is>
      </c>
      <c r="G140" s="24" t="inlineStr">
        <is>
          <t>{{token_u4}} – U4 chỉ có C1/B1</t>
        </is>
      </c>
      <c r="H140" s="24" t="inlineStr">
        <is>
          <t>Các biến {{...}} trong path phải lấy từ response/seed; xem cột chuẩn bị dữ liệu.</t>
        </is>
      </c>
      <c r="I140" s="24" t="inlineStr">
        <is>
          <t>Không có</t>
        </is>
      </c>
      <c r="J140" s="24" t="inlineStr">
        <is>
          <t>Authorization: Bearer {{access_token}}
Accept: application/json
Content-Type: application/json</t>
        </is>
      </c>
      <c r="K140" s="24" t="inlineStr">
        <is>
          <t>{
  "company": "{{c1_id}}",
  "conversation": "{{ai_conversation_id}}",
  "question": "{{ai_question}}",
  "request_type": "ANALYSIS",
  "request_id": "{{$guid}}",
  "context": {"screen": "dashboard"}
}</t>
        </is>
      </c>
      <c r="L140"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40" s="24" t="inlineStr">
        <is>
          <t>201</t>
        </is>
      </c>
      <c r="N140" s="24" t="inlineStr">
        <is>
          <t>Giá trị nhạy cảm được [REDACTED]; dữ liệu ngoài scope không gửi provider</t>
        </is>
      </c>
      <c r="O140" s="24" t="inlineStr">
        <is>
          <t>pm.test('HTTP thuộc [201]', () =&gt; pm.expect([201]).to.include(pm.response.code));
pm.test('Response không lộ secret', () =&gt; { const t=pm.response.text().toLowerCase(); ['password','refresh_token','access_token','otp_code'].forEach(k =&gt; pm.expect(t).not.to.include(k)); });</t>
        </is>
      </c>
      <c r="P140" s="25" t="inlineStr">
        <is>
          <t>Not Run</t>
        </is>
      </c>
      <c r="Q140" s="25" t="inlineStr"/>
      <c r="R140" s="25" t="inlineStr"/>
      <c r="S140" s="25" t="inlineStr"/>
      <c r="T140" s="25" t="inlineStr"/>
      <c r="U140" s="25" t="inlineStr"/>
      <c r="V140" s="24">
        <f>IF(P140="Not Run","Chưa chạy",IF(R140="","Thiếu Tester",IF(S140="","Thiếu Ngày chạy",IF(Q140="","Thiếu Actual Result",IF(AND(P140="Fail",T140=""),"Thiếu Defect ID",IF(AND(OR(P140="Fail",P140="Blocked"),U140=""),"Thiếu Evidence","Hợp lệ"))))))</f>
        <v/>
      </c>
    </row>
    <row r="141" ht="125" customHeight="1">
      <c r="A141" s="24" t="inlineStr">
        <is>
          <t>COM12-08</t>
        </is>
      </c>
      <c r="B141" s="24" t="inlineStr">
        <is>
          <t>COM12-08</t>
        </is>
      </c>
      <c r="C141" s="24" t="inlineStr">
        <is>
          <t>UC-COM-12</t>
        </is>
      </c>
      <c r="D141" s="24" t="inlineStr">
        <is>
          <t>Prompt injection yêu cầu bỏ qua quyền hoặc truy xuất C2</t>
        </is>
      </c>
      <c r="E141" s="24" t="inlineStr">
        <is>
          <t>POST</t>
        </is>
      </c>
      <c r="F141" s="24" t="inlineStr">
        <is>
          <t>{{base_url}}/api/v1/common/ai/query/</t>
        </is>
      </c>
      <c r="G141" s="24" t="inlineStr">
        <is>
          <t>{{token_u4}} – U4 chỉ có C1/B1</t>
        </is>
      </c>
      <c r="H141" s="24" t="inlineStr">
        <is>
          <t>Các biến {{...}} trong path phải lấy từ response/seed; xem cột chuẩn bị dữ liệu.</t>
        </is>
      </c>
      <c r="I141" s="24" t="inlineStr">
        <is>
          <t>Không có</t>
        </is>
      </c>
      <c r="J141" s="24" t="inlineStr">
        <is>
          <t>Authorization: Bearer {{access_token}}
Accept: application/json
Content-Type: application/json</t>
        </is>
      </c>
      <c r="K141" s="24" t="inlineStr">
        <is>
          <t>{
  "company": "{{c1_id}}",
  "conversation": "{{ai_conversation_id}}",
  "question": "{{ai_question}}",
  "request_type": "ANALYSIS",
  "request_id": "{{$guid}}",
  "context": {"screen": "dashboard"}
}</t>
        </is>
      </c>
      <c r="L141"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41" s="24" t="inlineStr">
        <is>
          <t>201</t>
        </is>
      </c>
      <c r="N141" s="24" t="inlineStr">
        <is>
          <t>Không vượt Permission/Data Scope; câu trả lời không lộ dữ liệu</t>
        </is>
      </c>
      <c r="O141" s="24" t="inlineStr">
        <is>
          <t>pm.test('HTTP thuộc [201]', () =&gt; pm.expect([201]).to.include(pm.response.code));
pm.test('Response không lộ secret', () =&gt; { const t=pm.response.text().toLowerCase(); ['password','refresh_token','access_token','otp_code'].forEach(k =&gt; pm.expect(t).not.to.include(k)); });</t>
        </is>
      </c>
      <c r="P141" s="25" t="inlineStr">
        <is>
          <t>Not Run</t>
        </is>
      </c>
      <c r="Q141" s="25" t="inlineStr"/>
      <c r="R141" s="25" t="inlineStr"/>
      <c r="S141" s="25" t="inlineStr"/>
      <c r="T141" s="25" t="inlineStr"/>
      <c r="U141" s="25" t="inlineStr"/>
      <c r="V141" s="24">
        <f>IF(P141="Not Run","Chưa chạy",IF(R141="","Thiếu Tester",IF(S141="","Thiếu Ngày chạy",IF(Q141="","Thiếu Actual Result",IF(AND(P141="Fail",T141=""),"Thiếu Defect ID",IF(AND(OR(P141="Fail",P141="Blocked"),U141=""),"Thiếu Evidence","Hợp lệ"))))))</f>
        <v/>
      </c>
    </row>
    <row r="142" ht="125" customHeight="1">
      <c r="A142" s="24" t="inlineStr">
        <is>
          <t>COM12-09</t>
        </is>
      </c>
      <c r="B142" s="24" t="inlineStr">
        <is>
          <t>COM12-09</t>
        </is>
      </c>
      <c r="C142" s="24" t="inlineStr">
        <is>
          <t>UC-COM-12</t>
        </is>
      </c>
      <c r="D142" s="24" t="inlineStr">
        <is>
          <t>Gửi lại cùng request_id</t>
        </is>
      </c>
      <c r="E142" s="24" t="inlineStr">
        <is>
          <t>POST</t>
        </is>
      </c>
      <c r="F142" s="24" t="inlineStr">
        <is>
          <t>{{base_url}}/api/v1/common/ai/query/</t>
        </is>
      </c>
      <c r="G142" s="24" t="inlineStr">
        <is>
          <t>{{access_token}} – actor theo TEST_DATA</t>
        </is>
      </c>
      <c r="H142" s="24" t="inlineStr">
        <is>
          <t>Các biến {{...}} trong path phải lấy từ response/seed; xem cột chuẩn bị dữ liệu.</t>
        </is>
      </c>
      <c r="I142" s="24" t="inlineStr">
        <is>
          <t>Không có</t>
        </is>
      </c>
      <c r="J142" s="24" t="inlineStr">
        <is>
          <t>Authorization: Bearer {{access_token}}
Accept: application/json
Content-Type: application/json</t>
        </is>
      </c>
      <c r="K142" s="24" t="inlineStr">
        <is>
          <t>{
  "company": "{{c1_id}}",
  "conversation": "{{ai_conversation_id}}",
  "question": "{{ai_question}}",
  "request_type": "ANALYSIS",
  "request_id": "{{$guid}}",
  "context": {"screen": "dashboard"}
}</t>
        </is>
      </c>
      <c r="L142"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42" s="24" t="inlineStr">
        <is>
          <t>201</t>
        </is>
      </c>
      <c r="N142" s="24" t="inlineStr">
        <is>
          <t>Idempotent, trả interaction cũ; provider không bị gọi hai lần</t>
        </is>
      </c>
      <c r="O142" s="24" t="inlineStr">
        <is>
          <t>pm.test('HTTP thuộc [201]', () =&gt; pm.expect([201]).to.include(pm.response.code));
pm.test('Response không lộ secret', () =&gt; { const t=pm.response.text().toLowerCase(); ['password','refresh_token','access_token','otp_code'].forEach(k =&gt; pm.expect(t).not.to.include(k)); });</t>
        </is>
      </c>
      <c r="P142" s="25" t="inlineStr">
        <is>
          <t>Not Run</t>
        </is>
      </c>
      <c r="Q142" s="25" t="inlineStr"/>
      <c r="R142" s="25" t="inlineStr"/>
      <c r="S142" s="25" t="inlineStr"/>
      <c r="T142" s="25" t="inlineStr"/>
      <c r="U142" s="25" t="inlineStr"/>
      <c r="V142" s="24">
        <f>IF(P142="Not Run","Chưa chạy",IF(R142="","Thiếu Tester",IF(S142="","Thiếu Ngày chạy",IF(Q142="","Thiếu Actual Result",IF(AND(P142="Fail",T142=""),"Thiếu Defect ID",IF(AND(OR(P142="Fail",P142="Blocked"),U142=""),"Thiếu Evidence","Hợp lệ"))))))</f>
        <v/>
      </c>
    </row>
    <row r="143" ht="125" customHeight="1">
      <c r="A143" s="24" t="inlineStr">
        <is>
          <t>COM12-10</t>
        </is>
      </c>
      <c r="B143" s="24" t="inlineStr">
        <is>
          <t>COM12-10</t>
        </is>
      </c>
      <c r="C143" s="24" t="inlineStr">
        <is>
          <t>UC-COM-12</t>
        </is>
      </c>
      <c r="D143" s="24" t="inlineStr">
        <is>
          <t>conversation/parent không thuộc user hoặc không tương thích</t>
        </is>
      </c>
      <c r="E143" s="24" t="inlineStr">
        <is>
          <t>POST</t>
        </is>
      </c>
      <c r="F143" s="24" t="inlineStr">
        <is>
          <t>{{base_url}}/api/v1/common/ai/query/</t>
        </is>
      </c>
      <c r="G143" s="24" t="inlineStr">
        <is>
          <t>{{access_token}} – actor theo TEST_DATA</t>
        </is>
      </c>
      <c r="H143" s="24" t="inlineStr">
        <is>
          <t>Các biến {{...}} trong path phải lấy từ response/seed; xem cột chuẩn bị dữ liệu.</t>
        </is>
      </c>
      <c r="I143" s="24" t="inlineStr">
        <is>
          <t>Không có</t>
        </is>
      </c>
      <c r="J143" s="24" t="inlineStr">
        <is>
          <t>Authorization: Bearer {{access_token}}
Accept: application/json
Content-Type: application/json</t>
        </is>
      </c>
      <c r="K143" s="24" t="inlineStr">
        <is>
          <t>{
  "company": "{{c1_id}}",
  "conversation": "{{ai_conversation_id}}",
  "question": "{{ai_question}}",
  "request_type": "ANALYSIS",
  "request_id": "{{$guid}}",
  "context": {"screen": "dashboard"}
}</t>
        </is>
      </c>
      <c r="L143"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43" s="24" t="inlineStr">
        <is>
          <t>400, 403</t>
        </is>
      </c>
      <c r="N143" s="24" t="inlineStr">
        <is>
          <t>400/403; không nối sai chuỗi hội thoại</t>
        </is>
      </c>
      <c r="O143" s="24" t="inlineStr">
        <is>
          <t>pm.test('HTTP thuộc [400, 403]', () =&gt; pm.expect([400, 403]).to.include(pm.response.code));
pm.test('Response không lộ secret', () =&gt; { const t=pm.response.text().toLowerCase(); ['password','refresh_token','access_token','otp_code'].forEach(k =&gt; pm.expect(t).not.to.include(k)); });</t>
        </is>
      </c>
      <c r="P143" s="25" t="inlineStr">
        <is>
          <t>Not Run</t>
        </is>
      </c>
      <c r="Q143" s="25" t="inlineStr"/>
      <c r="R143" s="25" t="inlineStr"/>
      <c r="S143" s="25" t="inlineStr"/>
      <c r="T143" s="25" t="inlineStr"/>
      <c r="U143" s="25" t="inlineStr"/>
      <c r="V143" s="24">
        <f>IF(P143="Not Run","Chưa chạy",IF(R143="","Thiếu Tester",IF(S143="","Thiếu Ngày chạy",IF(Q143="","Thiếu Actual Result",IF(AND(P143="Fail",T143=""),"Thiếu Defect ID",IF(AND(OR(P143="Fail",P143="Blocked"),U143=""),"Thiếu Evidence","Hợp lệ"))))))</f>
        <v/>
      </c>
    </row>
    <row r="144" ht="125" customHeight="1">
      <c r="A144" s="24" t="inlineStr">
        <is>
          <t>COM12-11</t>
        </is>
      </c>
      <c r="B144" s="24" t="inlineStr">
        <is>
          <t>COM12-11</t>
        </is>
      </c>
      <c r="C144" s="24" t="inlineStr">
        <is>
          <t>UC-COM-12</t>
        </is>
      </c>
      <c r="D144" s="24" t="inlineStr">
        <is>
          <t>Provider timeout, HTTP lỗi, JSON sai hoặc response quá lớn</t>
        </is>
      </c>
      <c r="E144" s="24" t="inlineStr">
        <is>
          <t>POST</t>
        </is>
      </c>
      <c r="F144" s="24" t="inlineStr">
        <is>
          <t>{{base_url}}/api/v1/common/ai/query/</t>
        </is>
      </c>
      <c r="G144" s="24" t="inlineStr">
        <is>
          <t>{{access_token}} – actor theo TEST_DATA</t>
        </is>
      </c>
      <c r="H144" s="24" t="inlineStr">
        <is>
          <t>Các biến {{...}} trong path phải lấy từ response/seed; xem cột chuẩn bị dữ liệu.</t>
        </is>
      </c>
      <c r="I144" s="24" t="inlineStr">
        <is>
          <t>Không có</t>
        </is>
      </c>
      <c r="J144" s="24" t="inlineStr">
        <is>
          <t>Authorization: Bearer {{access_token}}
Accept: application/json
Content-Type: application/json</t>
        </is>
      </c>
      <c r="K144" s="24" t="inlineStr">
        <is>
          <t>{
  "company": "{{c1_id}}",
  "conversation": "{{ai_conversation_id}}",
  "question": "{{ai_question}}",
  "request_type": "ANALYSIS",
  "request_id": "{{$guid}}",
  "context": {"screen": "dashboard"}
}</t>
        </is>
      </c>
      <c r="L144"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44" s="24" t="inlineStr">
        <is>
          <t>503</t>
        </is>
      </c>
      <c r="N144" s="24" t="inlineStr">
        <is>
          <t>503, status UNAVAILABLE, thông báo fallback; không lỗi 5xx không kiểm soát</t>
        </is>
      </c>
      <c r="O144" s="24" t="inlineStr">
        <is>
          <t>pm.test('HTTP thuộc [503]', () =&gt; pm.expect([503]).to.include(pm.response.code));
pm.test('Response không lộ secret', () =&gt; { const t=pm.response.text().toLowerCase(); ['password','refresh_token','access_token','otp_code'].forEach(k =&gt; pm.expect(t).not.to.include(k)); });</t>
        </is>
      </c>
      <c r="P144" s="25" t="inlineStr">
        <is>
          <t>Not Run</t>
        </is>
      </c>
      <c r="Q144" s="25" t="inlineStr"/>
      <c r="R144" s="25" t="inlineStr"/>
      <c r="S144" s="25" t="inlineStr"/>
      <c r="T144" s="25" t="inlineStr"/>
      <c r="U144" s="25" t="inlineStr"/>
      <c r="V144" s="24">
        <f>IF(P144="Not Run","Chưa chạy",IF(R144="","Thiếu Tester",IF(S144="","Thiếu Ngày chạy",IF(Q144="","Thiếu Actual Result",IF(AND(P144="Fail",T144=""),"Thiếu Defect ID",IF(AND(OR(P144="Fail",P144="Blocked"),U144=""),"Thiếu Evidence","Hợp lệ"))))))</f>
        <v/>
      </c>
    </row>
    <row r="145" ht="125" customHeight="1">
      <c r="A145" s="24" t="inlineStr">
        <is>
          <t>COM12-12</t>
        </is>
      </c>
      <c r="B145" s="24" t="inlineStr">
        <is>
          <t>COM12-12</t>
        </is>
      </c>
      <c r="C145" s="24" t="inlineStr">
        <is>
          <t>UC-COM-12</t>
        </is>
      </c>
      <c r="D145" s="24" t="inlineStr">
        <is>
          <t>Confirm interaction COMPLETED</t>
        </is>
      </c>
      <c r="E145" s="24" t="inlineStr">
        <is>
          <t>POST</t>
        </is>
      </c>
      <c r="F145" s="24" t="inlineStr">
        <is>
          <t>{{base_url}}/api/v1/common/ai/{{ai_interaction_id}}/confirm/?company_id={{c1_id}}</t>
        </is>
      </c>
      <c r="G145" s="24" t="inlineStr">
        <is>
          <t>{{access_token}} – actor theo TEST_DATA</t>
        </is>
      </c>
      <c r="H145" s="24" t="inlineStr">
        <is>
          <t>Các biến {{...}} trong path phải lấy từ response/seed; xem cột chuẩn bị dữ liệu.</t>
        </is>
      </c>
      <c r="I145" s="24" t="inlineStr">
        <is>
          <t>company_id={{c1_id}}</t>
        </is>
      </c>
      <c r="J145" s="24" t="inlineStr">
        <is>
          <t>Authorization: Bearer {{access_token}}
Accept: application/json
Content-Type: application/json</t>
        </is>
      </c>
      <c r="K145" s="24" t="inlineStr">
        <is>
          <t>{}</t>
        </is>
      </c>
      <c r="L145"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45" s="24" t="inlineStr">
        <is>
          <t>200</t>
        </is>
      </c>
      <c r="N145" s="24" t="inlineStr">
        <is>
          <t>Set confirmed_at; interaction không completed bị từ chối</t>
        </is>
      </c>
      <c r="O145" s="24" t="inlineStr">
        <is>
          <t>pm.test('HTTP thuộc [200]', () =&gt; pm.expect([200]).to.include(pm.response.code));
pm.test('Response không lộ secret', () =&gt; { const t=pm.response.text().toLowerCase(); ['password','refresh_token','access_token','otp_code'].forEach(k =&gt; pm.expect(t).not.to.include(k)); });</t>
        </is>
      </c>
      <c r="P145" s="25" t="inlineStr">
        <is>
          <t>Not Run</t>
        </is>
      </c>
      <c r="Q145" s="25" t="inlineStr"/>
      <c r="R145" s="25" t="inlineStr"/>
      <c r="S145" s="25" t="inlineStr"/>
      <c r="T145" s="25" t="inlineStr"/>
      <c r="U145" s="25" t="inlineStr"/>
      <c r="V145" s="24">
        <f>IF(P145="Not Run","Chưa chạy",IF(R145="","Thiếu Tester",IF(S145="","Thiếu Ngày chạy",IF(Q145="","Thiếu Actual Result",IF(AND(P145="Fail",T145=""),"Thiếu Defect ID",IF(AND(OR(P145="Fail",P145="Blocked"),U145=""),"Thiếu Evidence","Hợp lệ"))))))</f>
        <v/>
      </c>
    </row>
    <row r="146" ht="125" customHeight="1">
      <c r="A146" s="24" t="inlineStr">
        <is>
          <t>COM12-13</t>
        </is>
      </c>
      <c r="B146" s="24" t="inlineStr">
        <is>
          <t>COM12-13</t>
        </is>
      </c>
      <c r="C146" s="24" t="inlineStr">
        <is>
          <t>UC-COM-12</t>
        </is>
      </c>
      <c r="D146" s="24" t="inlineStr">
        <is>
          <t>Gửi/cập nhật feedback helpful và comment</t>
        </is>
      </c>
      <c r="E146" s="24" t="inlineStr">
        <is>
          <t>POST</t>
        </is>
      </c>
      <c r="F146" s="24" t="inlineStr">
        <is>
          <t>{{base_url}}/api/v1/common/ai/{{ai_interaction_id}}/feedback/?company_id={{c1_id}}</t>
        </is>
      </c>
      <c r="G146" s="24" t="inlineStr">
        <is>
          <t>{{access_token}} – actor theo TEST_DATA</t>
        </is>
      </c>
      <c r="H146" s="24" t="inlineStr">
        <is>
          <t>Các biến {{...}} trong path phải lấy từ response/seed; xem cột chuẩn bị dữ liệu.</t>
        </is>
      </c>
      <c r="I146" s="24" t="inlineStr">
        <is>
          <t>company_id={{c1_id}}</t>
        </is>
      </c>
      <c r="J146" s="24" t="inlineStr">
        <is>
          <t>Authorization: Bearer {{access_token}}
Accept: application/json
Content-Type: application/json</t>
        </is>
      </c>
      <c r="K146" s="24" t="inlineStr">
        <is>
          <t>{
  "helpful": true,
  "comment": "Hữu ích"
}</t>
        </is>
      </c>
      <c r="L146"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46" s="24" t="inlineStr">
        <is>
          <t>200</t>
        </is>
      </c>
      <c r="N146" s="24" t="inlineStr">
        <is>
          <t>Upsert đúng một feedback/interaction/user; comment tối đa 1000</t>
        </is>
      </c>
      <c r="O146" s="24" t="inlineStr">
        <is>
          <t>pm.test('HTTP thuộc [200]', () =&gt; pm.expect([200]).to.include(pm.response.code));
pm.test('Response không lộ secret', () =&gt; { const t=pm.response.text().toLowerCase(); ['password','refresh_token','access_token','otp_code'].forEach(k =&gt; pm.expect(t).not.to.include(k)); });</t>
        </is>
      </c>
      <c r="P146" s="25" t="inlineStr">
        <is>
          <t>Not Run</t>
        </is>
      </c>
      <c r="Q146" s="25" t="inlineStr"/>
      <c r="R146" s="25" t="inlineStr"/>
      <c r="S146" s="25" t="inlineStr"/>
      <c r="T146" s="25" t="inlineStr"/>
      <c r="U146" s="25" t="inlineStr"/>
      <c r="V146" s="24">
        <f>IF(P146="Not Run","Chưa chạy",IF(R146="","Thiếu Tester",IF(S146="","Thiếu Ngày chạy",IF(Q146="","Thiếu Actual Result",IF(AND(P146="Fail",T146=""),"Thiếu Defect ID",IF(AND(OR(P146="Fail",P146="Blocked"),U146=""),"Thiếu Evidence","Hợp lệ"))))))</f>
        <v/>
      </c>
    </row>
    <row r="147" ht="125" customHeight="1">
      <c r="A147" s="24" t="inlineStr">
        <is>
          <t>COM12-14</t>
        </is>
      </c>
      <c r="B147" s="24" t="inlineStr">
        <is>
          <t>COM12-14</t>
        </is>
      </c>
      <c r="C147" s="24" t="inlineStr">
        <is>
          <t>UC-COM-12</t>
        </is>
      </c>
      <c r="D147" s="24" t="inlineStr">
        <is>
          <t>Mở source index hợp lệ/không hợp lệ hoặc source ngoài quyền</t>
        </is>
      </c>
      <c r="E147" s="24" t="inlineStr">
        <is>
          <t>POST</t>
        </is>
      </c>
      <c r="F147" s="24" t="inlineStr">
        <is>
          <t>{{base_url}}/api/v1/common/ai/{{ai_interaction_id}}/source/{{source_index}}/?company_id={{c1_id}}</t>
        </is>
      </c>
      <c r="G147" s="24" t="inlineStr">
        <is>
          <t>{{access_token}} – actor theo TEST_DATA</t>
        </is>
      </c>
      <c r="H147" s="24" t="inlineStr">
        <is>
          <t>Các biến {{...}} trong path phải lấy từ response/seed; xem cột chuẩn bị dữ liệu.</t>
        </is>
      </c>
      <c r="I147" s="24" t="inlineStr">
        <is>
          <t>company_id={{c1_id}}</t>
        </is>
      </c>
      <c r="J147" s="24" t="inlineStr">
        <is>
          <t>Authorization: Bearer {{access_token}}
Accept: application/json
Content-Type: application/json</t>
        </is>
      </c>
      <c r="K147" s="24" t="inlineStr">
        <is>
          <t>{}</t>
        </is>
      </c>
      <c r="L147"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47" s="24" t="inlineStr">
        <is>
          <t>400, 404</t>
        </is>
      </c>
      <c r="N147" s="24" t="inlineStr">
        <is>
          <t>Chỉ mở nguồn còn được phép; index sai trả 400/404</t>
        </is>
      </c>
      <c r="O147" s="24" t="inlineStr">
        <is>
          <t>pm.test('HTTP thuộc [400, 404]', () =&gt; pm.expect([400, 404]).to.include(pm.response.code));
pm.test('Response không lộ secret', () =&gt; { const t=pm.response.text().toLowerCase(); ['password','refresh_token','access_token','otp_code'].forEach(k =&gt; pm.expect(t).not.to.include(k)); });</t>
        </is>
      </c>
      <c r="P147" s="25" t="inlineStr">
        <is>
          <t>Not Run</t>
        </is>
      </c>
      <c r="Q147" s="25" t="inlineStr"/>
      <c r="R147" s="25" t="inlineStr"/>
      <c r="S147" s="25" t="inlineStr"/>
      <c r="T147" s="25" t="inlineStr"/>
      <c r="U147" s="25" t="inlineStr"/>
      <c r="V147" s="24">
        <f>IF(P147="Not Run","Chưa chạy",IF(R147="","Thiếu Tester",IF(S147="","Thiếu Ngày chạy",IF(Q147="","Thiếu Actual Result",IF(AND(P147="Fail",T147=""),"Thiếu Defect ID",IF(AND(OR(P147="Fail",P147="Blocked"),U147=""),"Thiếu Evidence","Hợp lệ"))))))</f>
        <v/>
      </c>
    </row>
    <row r="148" ht="125" customHeight="1">
      <c r="A148" s="24" t="inlineStr">
        <is>
          <t>COM12-15</t>
        </is>
      </c>
      <c r="B148" s="24" t="inlineStr">
        <is>
          <t>COM12-15</t>
        </is>
      </c>
      <c r="C148" s="24" t="inlineStr">
        <is>
          <t>UC-COM-12</t>
        </is>
      </c>
      <c r="D148" s="24" t="inlineStr">
        <is>
          <t>Question 2/3/4000/4001 ký tự và context rất lớn</t>
        </is>
      </c>
      <c r="E148" s="24" t="inlineStr">
        <is>
          <t>POST</t>
        </is>
      </c>
      <c r="F148" s="24" t="inlineStr">
        <is>
          <t>{{base_url}}/api/v1/common/ai/query/</t>
        </is>
      </c>
      <c r="G148" s="24" t="inlineStr">
        <is>
          <t>{{access_token}} – actor theo TEST_DATA</t>
        </is>
      </c>
      <c r="H148" s="24" t="inlineStr">
        <is>
          <t>Các biến {{...}} trong path phải lấy từ response/seed; xem cột chuẩn bị dữ liệu.</t>
        </is>
      </c>
      <c r="I148" s="24" t="inlineStr">
        <is>
          <t>Không có</t>
        </is>
      </c>
      <c r="J148" s="24" t="inlineStr">
        <is>
          <t>Authorization: Bearer {{access_token}}
Accept: application/json
Content-Type: application/json</t>
        </is>
      </c>
      <c r="K148" s="24" t="inlineStr">
        <is>
          <t>{
  "company": "{{c1_id}}",
  "conversation": "{{ai_conversation_id}}",
  "question": "{{ai_question}}",
  "request_type": "ANALYSIS",
  "request_id": "{{$guid}}",
  "context": {"screen": "dashboard"}
}</t>
        </is>
      </c>
      <c r="L148"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48" s="24" t="inlineStr">
        <is>
          <t>201</t>
        </is>
      </c>
      <c r="N148" s="24" t="inlineStr">
        <is>
          <t>Thực thi đúng giới hạn đã duyệt; không treo hoặc vượt payload limit</t>
        </is>
      </c>
      <c r="O148" s="24" t="inlineStr">
        <is>
          <t>pm.test('HTTP thuộc [201]', () =&gt; pm.expect([201]).to.include(pm.response.code));
pm.test('Response không lộ secret', () =&gt; { const t=pm.response.text().toLowerCase(); ['password','refresh_token','access_token','otp_code'].forEach(k =&gt; pm.expect(t).not.to.include(k)); });</t>
        </is>
      </c>
      <c r="P148" s="25" t="inlineStr">
        <is>
          <t>Not Run</t>
        </is>
      </c>
      <c r="Q148" s="25" t="inlineStr"/>
      <c r="R148" s="25" t="inlineStr"/>
      <c r="S148" s="25" t="inlineStr"/>
      <c r="T148" s="25" t="inlineStr"/>
      <c r="U148" s="25" t="inlineStr"/>
      <c r="V148" s="24">
        <f>IF(P148="Not Run","Chưa chạy",IF(R148="","Thiếu Tester",IF(S148="","Thiếu Ngày chạy",IF(Q148="","Thiếu Actual Result",IF(AND(P148="Fail",T148=""),"Thiếu Defect ID",IF(AND(OR(P148="Fail",P148="Blocked"),U148=""),"Thiếu Evidence","Hợp lệ"))))))</f>
        <v/>
      </c>
    </row>
    <row r="149" ht="125" customHeight="1">
      <c r="A149" s="24" t="inlineStr">
        <is>
          <t>COM12-16</t>
        </is>
      </c>
      <c r="B149" s="24" t="inlineStr">
        <is>
          <t>COM12-16</t>
        </is>
      </c>
      <c r="C149" s="24" t="inlineStr">
        <is>
          <t>UC-COM-12</t>
        </is>
      </c>
      <c r="D149" s="24" t="inlineStr">
        <is>
          <t>Nội dung output có HTML/script/công thức nguy hiểm</t>
        </is>
      </c>
      <c r="E149" s="24" t="inlineStr">
        <is>
          <t>POST</t>
        </is>
      </c>
      <c r="F149" s="24" t="inlineStr">
        <is>
          <t>{{base_url}}/api/v1/common/ai/query/</t>
        </is>
      </c>
      <c r="G149" s="24" t="inlineStr">
        <is>
          <t>{{access_token}} – actor theo TEST_DATA</t>
        </is>
      </c>
      <c r="H149" s="24" t="inlineStr">
        <is>
          <t>Các biến {{...}} trong path phải lấy từ response/seed; xem cột chuẩn bị dữ liệu.</t>
        </is>
      </c>
      <c r="I149" s="24" t="inlineStr">
        <is>
          <t>Không có</t>
        </is>
      </c>
      <c r="J149" s="24" t="inlineStr">
        <is>
          <t>Authorization: Bearer {{access_token}}
Accept: application/json
Content-Type: application/json</t>
        </is>
      </c>
      <c r="K149" s="24" t="inlineStr">
        <is>
          <t>{
  "company": "{{c1_id}}",
  "conversation": "{{ai_conversation_id}}",
  "question": "{{ai_question}}",
  "request_type": "ANALYSIS",
  "request_id": "{{$guid}}",
  "context": {"screen": "dashboard"}
}</t>
        </is>
      </c>
      <c r="L149" s="24" t="inlineStr">
        <is>
          <t>1. Chạy request đăng nhập phù hợp và lưu access token vào Environment.
2. Điền UUID từ dữ liệu seed/staging; không tự đặt UUID giả nếu case yêu cầu object tồn tại.
3. Đối chiếu actor, membership, Permission và Data Scope trong sheet TEST_DATA.</t>
        </is>
      </c>
      <c r="M149" s="24" t="inlineStr">
        <is>
          <t>201</t>
        </is>
      </c>
      <c r="N149" s="24" t="inlineStr">
        <is>
          <t>UI encode/sanitize; không XSS; disclaimer luôn hiển thị</t>
        </is>
      </c>
      <c r="O149" s="24" t="inlineStr">
        <is>
          <t>pm.test('HTTP thuộc [201]', () =&gt; pm.expect([201]).to.include(pm.response.code));
pm.test('Response không lộ secret', () =&gt; { const t=pm.response.text().toLowerCase(); ['password','refresh_token','access_token','otp_code'].forEach(k =&gt; pm.expect(t).not.to.include(k)); });</t>
        </is>
      </c>
      <c r="P149" s="25" t="inlineStr">
        <is>
          <t>Not Run</t>
        </is>
      </c>
      <c r="Q149" s="25" t="inlineStr"/>
      <c r="R149" s="25" t="inlineStr"/>
      <c r="S149" s="25" t="inlineStr"/>
      <c r="T149" s="25" t="inlineStr"/>
      <c r="U149" s="25" t="inlineStr"/>
      <c r="V149" s="24">
        <f>IF(P149="Not Run","Chưa chạy",IF(R149="","Thiếu Tester",IF(S149="","Thiếu Ngày chạy",IF(Q149="","Thiếu Actual Result",IF(AND(P149="Fail",T149=""),"Thiếu Defect ID",IF(AND(OR(P149="Fail",P149="Blocked"),U149=""),"Thiếu Evidence","Hợp lệ"))))))</f>
        <v/>
      </c>
    </row>
  </sheetData>
  <sheetProtection selectLockedCells="1" selectUnlockedCells="0" sheet="1" objects="0" insertRows="1" insertHyperlinks="1" autoFilter="0" scenarios="0" formatColumns="1" deleteColumns="1" insertColumns="1" pivotTables="1" deleteRows="1" formatCells="1" formatRows="1" sort="0"/>
  <autoFilter ref="A3:V149"/>
  <mergeCells count="2">
    <mergeCell ref="A2:V2"/>
    <mergeCell ref="A1:V1"/>
  </mergeCells>
  <conditionalFormatting sqref="V4:V149">
    <cfRule type="expression" priority="1" dxfId="0">
      <formula>$V4="Hợp lệ"</formula>
    </cfRule>
    <cfRule type="expression" priority="2" dxfId="1">
      <formula>AND($V4&lt;&gt;"Hợp lệ",$V4&lt;&gt;"Chưa chạy")</formula>
    </cfRule>
  </conditionalFormatting>
  <dataValidations count="1">
    <dataValidation sqref="P4:P149" showDropDown="0" showInputMessage="0" showErrorMessage="0" allowBlank="0" type="list">
      <formula1>"Not Run,Pass,Fail,Blocked,N/A"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7"/>
  <sheetViews>
    <sheetView showGridLines="0"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4" customWidth="1" min="2" max="2"/>
    <col width="14" customWidth="1" min="3" max="3"/>
    <col width="42" customWidth="1" min="4" max="4"/>
    <col width="10" customWidth="1" min="5" max="5"/>
    <col width="23" customWidth="1" min="6" max="6"/>
    <col width="18" customWidth="1" min="7" max="7"/>
    <col width="50" customWidth="1" min="8" max="8"/>
    <col width="48" customWidth="1" min="9" max="9"/>
    <col width="50" customWidth="1" min="10" max="10"/>
    <col width="70" customWidth="1" min="11" max="11"/>
    <col width="62" customWidth="1" min="12" max="12"/>
    <col width="46" customWidth="1" min="13" max="13"/>
    <col width="50" customWidth="1" min="14" max="14"/>
    <col width="13" customWidth="1" min="15" max="15"/>
    <col width="16" customWidth="1" min="16" max="16"/>
    <col width="16" customWidth="1" min="17" max="17"/>
    <col width="18" customWidth="1" min="18" max="18"/>
    <col width="14" customWidth="1" min="19" max="19"/>
    <col width="30" customWidth="1" min="20" max="20"/>
    <col width="16" customWidth="1" min="21" max="21"/>
    <col width="34" customWidth="1" min="22" max="22"/>
  </cols>
  <sheetData>
    <row r="1" ht="32" customHeight="1">
      <c r="A1" s="1" t="inlineStr">
        <is>
          <t>UC-COM-01 – Đăng ký và xác thực tài khoản</t>
        </is>
      </c>
    </row>
    <row r="2" ht="30" customHeight="1">
      <c r="A2" s="2" t="inlineStr">
        <is>
          <t>Nguồn: COMMON_SERVICES_TEST_PLAN.md | 14 test case</t>
        </is>
      </c>
    </row>
    <row r="3" ht="38" customHeight="1">
      <c r="A3" s="3" t="inlineStr">
        <is>
          <t>STT</t>
        </is>
      </c>
      <c r="B3" s="3" t="inlineStr">
        <is>
          <t>Test Case ID</t>
        </is>
      </c>
      <c r="C3" s="3" t="inlineStr">
        <is>
          <t>UC ID</t>
        </is>
      </c>
      <c r="D3" s="3" t="inlineStr">
        <is>
          <t>Tên test case</t>
        </is>
      </c>
      <c r="E3" s="3" t="inlineStr">
        <is>
          <t>Priority</t>
        </is>
      </c>
      <c r="F3" s="3" t="inlineStr">
        <is>
          <t>Loại kiểm thử</t>
        </is>
      </c>
      <c r="G3" s="3" t="inlineStr">
        <is>
          <t>Lớp</t>
        </is>
      </c>
      <c r="H3" s="3" t="inlineStr">
        <is>
          <t>Endpoint/API</t>
        </is>
      </c>
      <c r="I3" s="3" t="inlineStr">
        <is>
          <t>Điều kiện trước</t>
        </is>
      </c>
      <c r="J3" s="3" t="inlineStr">
        <is>
          <t>Dữ liệu kiểm thử</t>
        </is>
      </c>
      <c r="K3" s="3" t="inlineStr">
        <is>
          <t>Các bước thực hiện</t>
        </is>
      </c>
      <c r="L3" s="3" t="inlineStr">
        <is>
          <t>Kết quả mong đợi</t>
        </is>
      </c>
      <c r="M3" s="3" t="inlineStr">
        <is>
          <t>Hậu điều kiện cần kiểm tra</t>
        </is>
      </c>
      <c r="N3" s="3" t="inlineStr">
        <is>
          <t>Actual Result</t>
        </is>
      </c>
      <c r="O3" s="3" t="inlineStr">
        <is>
          <t>Status</t>
        </is>
      </c>
      <c r="P3" s="3" t="inlineStr">
        <is>
          <t>Severity nếu lỗi</t>
        </is>
      </c>
      <c r="Q3" s="3" t="inlineStr">
        <is>
          <t>Defect ID</t>
        </is>
      </c>
      <c r="R3" s="3" t="inlineStr">
        <is>
          <t>Tester</t>
        </is>
      </c>
      <c r="S3" s="3" t="inlineStr">
        <is>
          <t>Ngày chạy</t>
        </is>
      </c>
      <c r="T3" s="3" t="inlineStr">
        <is>
          <t>Evidence/Link</t>
        </is>
      </c>
      <c r="U3" s="3" t="inlineStr">
        <is>
          <t>Automation</t>
        </is>
      </c>
      <c r="V3" s="3" t="inlineStr">
        <is>
          <t>Ghi chú</t>
        </is>
      </c>
    </row>
    <row r="4" ht="132" customHeight="1">
      <c r="A4" s="4" t="n">
        <v>1</v>
      </c>
      <c r="B4" s="14" t="inlineStr">
        <is>
          <t>COM01-01</t>
        </is>
      </c>
      <c r="C4" s="4" t="inlineStr">
        <is>
          <t>UC-COM-01</t>
        </is>
      </c>
      <c r="D4" s="4" t="inlineStr">
        <is>
          <t>Đăng ký đủ dữ liệu hợp lệ và chấp nhận điều khoản</t>
        </is>
      </c>
      <c r="E4" s="15" t="inlineStr">
        <is>
          <t>P0</t>
        </is>
      </c>
      <c r="F4" s="4" t="inlineStr">
        <is>
          <t>Functional</t>
        </is>
      </c>
      <c r="G4" s="4" t="inlineStr">
        <is>
          <t>API + UI/E2E</t>
        </is>
      </c>
      <c r="H4" s="4" t="inlineStr">
        <is>
          <t>POST /api/v1/common/auth/register/
POST /api/v1/common/auth/verify-registration/
POST /api/v1/common/auth/resend-verification/
POST /api/v1/common/auth/change-registration-email/</t>
        </is>
      </c>
      <c r="I4" s="4" t="inlineStr">
        <is>
          <t>Email/username/phone chưa tồn tại, trừ khi test case yêu cầu dữ liệu trùng. Email sandbox hoạt động.</t>
        </is>
      </c>
      <c r="J4" s="4" t="inlineStr">
        <is>
          <t>email=qa.com01+&lt;timestamp&gt;@example.com; username=qa_com01_&lt;timestamp&gt;; phone=0901&lt;6 số&gt;; password=StrongPass!2026</t>
        </is>
      </c>
      <c r="K4" s="4" t="inlineStr">
        <is>
          <t>1. Chuẩn bị dữ liệu đúng mục 'Điều kiện trước' và ghi lại các ID ban đầu.
2. Mở màn hình/API tương ứng ở trạng thái chưa xác thực, trừ khi kịch bản yêu cầu session có sẵn.
3. Thực hiện kịch bản: Đăng ký đủ dữ liệu hợp lệ và chấp nhận điều khoản.
4. Ghi lại HTTP status, response body và thông báo/điều hướng trên UI (nếu có).
5. Kiểm tra response, email sandbox, trạng thái user/challenge và không để lộ password/OTP.
6. So sánh toàn bộ kết quả với cột 'Kết quả mong đợi' và đính kèm evidence nếu Fail/Blocked.</t>
        </is>
      </c>
      <c r="L4" s="4" t="inlineStr">
        <is>
          <t>201; tạo user inactive, IAM account, preference, session state, challenge REGISTER; email OTP được gửi; không trả password/OTP</t>
        </is>
      </c>
      <c r="M4" s="4" t="inlineStr">
        <is>
          <t>User, IAM account, preference và challenge nhất quán; không có user rác khi validation lỗi.</t>
        </is>
      </c>
      <c r="N4" s="4" t="inlineStr"/>
      <c r="O4" s="16" t="inlineStr">
        <is>
          <t>Not Run</t>
        </is>
      </c>
      <c r="P4" s="4" t="inlineStr"/>
      <c r="Q4" s="4" t="inlineStr"/>
      <c r="R4" s="4" t="inlineStr"/>
      <c r="S4" s="4" t="inlineStr"/>
      <c r="T4" s="4" t="inlineStr"/>
      <c r="U4" s="4" t="inlineStr">
        <is>
          <t>Candidate</t>
        </is>
      </c>
      <c r="V4" s="4" t="inlineStr"/>
    </row>
    <row r="5" ht="132" customHeight="1">
      <c r="A5" s="5" t="n">
        <v>2</v>
      </c>
      <c r="B5" s="17" t="inlineStr">
        <is>
          <t>COM01-02</t>
        </is>
      </c>
      <c r="C5" s="5" t="inlineStr">
        <is>
          <t>UC-COM-01</t>
        </is>
      </c>
      <c r="D5" s="5" t="inlineStr">
        <is>
          <t>Xác thực bằng challenge và OTP đúng</t>
        </is>
      </c>
      <c r="E5" s="15" t="inlineStr">
        <is>
          <t>P0</t>
        </is>
      </c>
      <c r="F5" s="5" t="inlineStr">
        <is>
          <t>Functional</t>
        </is>
      </c>
      <c r="G5" s="5" t="inlineStr">
        <is>
          <t>API + UI/E2E</t>
        </is>
      </c>
      <c r="H5" s="5" t="inlineStr">
        <is>
          <t>POST /api/v1/common/auth/register/
POST /api/v1/common/auth/verify-registration/
POST /api/v1/common/auth/resend-verification/
POST /api/v1/common/auth/change-registration-email/</t>
        </is>
      </c>
      <c r="I5" s="5" t="inlineStr">
        <is>
          <t>Email/username/phone chưa tồn tại, trừ khi test case yêu cầu dữ liệu trùng. Email sandbox hoạt động.</t>
        </is>
      </c>
      <c r="J5" s="5" t="inlineStr">
        <is>
          <t>email=qa.com01+&lt;timestamp&gt;@example.com; username=qa_com01_&lt;timestamp&gt;; phone=0901&lt;6 số&gt;; password=StrongPass!2026
Bổ sung: OTP đúng: lấy từ email sandbox; OTP sai: 000000; challenge UUID từ response</t>
        </is>
      </c>
      <c r="K5" s="5" t="inlineStr">
        <is>
          <t>1. Chuẩn bị dữ liệu đúng mục 'Điều kiện trước' và ghi lại các ID ban đầu.
2. Mở màn hình/API tương ứng ở trạng thái chưa xác thực, trừ khi kịch bản yêu cầu session có sẵn.
3. Thực hiện kịch bản: Xác thực bằng challenge và OTP đúng.
4. Ghi lại HTTP status, response body và thông báo/điều hướng trên UI (nếu có).
5. Kiểm tra response, email sandbox, trạng thái user/challenge và không để lộ password/OTP.
6. So sánh toàn bộ kết quả với cột 'Kết quả mong đợi' và đính kèm evidence nếu Fail/Blocked.</t>
        </is>
      </c>
      <c r="L5" s="5" t="inlineStr">
        <is>
          <t>200; user ACTIVE, email được đánh dấu verified, OTP consumed, trả access/refresh và bước tiếp theo</t>
        </is>
      </c>
      <c r="M5" s="5" t="inlineStr">
        <is>
          <t>User, IAM account, preference và challenge nhất quán; không có user rác khi validation lỗi.</t>
        </is>
      </c>
      <c r="N5" s="5" t="inlineStr"/>
      <c r="O5" s="18" t="inlineStr">
        <is>
          <t>Not Run</t>
        </is>
      </c>
      <c r="P5" s="5" t="inlineStr"/>
      <c r="Q5" s="5" t="inlineStr"/>
      <c r="R5" s="5" t="inlineStr"/>
      <c r="S5" s="5" t="inlineStr"/>
      <c r="T5" s="5" t="inlineStr"/>
      <c r="U5" s="5" t="inlineStr">
        <is>
          <t>Candidate</t>
        </is>
      </c>
      <c r="V5" s="5" t="inlineStr"/>
    </row>
    <row r="6" ht="132" customHeight="1">
      <c r="A6" s="4" t="n">
        <v>3</v>
      </c>
      <c r="B6" s="14" t="inlineStr">
        <is>
          <t>COM01-03</t>
        </is>
      </c>
      <c r="C6" s="4" t="inlineStr">
        <is>
          <t>UC-COM-01</t>
        </is>
      </c>
      <c r="D6" s="4" t="inlineStr">
        <is>
          <t>Nhập sai OTP lần 1–4</t>
        </is>
      </c>
      <c r="E6" s="15" t="inlineStr">
        <is>
          <t>P0</t>
        </is>
      </c>
      <c r="F6" s="4" t="inlineStr">
        <is>
          <t>Functional</t>
        </is>
      </c>
      <c r="G6" s="4" t="inlineStr">
        <is>
          <t>API + UI/E2E</t>
        </is>
      </c>
      <c r="H6" s="4" t="inlineStr">
        <is>
          <t>POST /api/v1/common/auth/register/
POST /api/v1/common/auth/verify-registration/
POST /api/v1/common/auth/resend-verification/
POST /api/v1/common/auth/change-registration-email/</t>
        </is>
      </c>
      <c r="I6" s="4" t="inlineStr">
        <is>
          <t>Email/username/phone chưa tồn tại, trừ khi test case yêu cầu dữ liệu trùng. Email sandbox hoạt động.</t>
        </is>
      </c>
      <c r="J6" s="4" t="inlineStr">
        <is>
          <t>email=qa.com01+&lt;timestamp&gt;@example.com; username=qa_com01_&lt;timestamp&gt;; phone=0901&lt;6 số&gt;; password=StrongPass!2026
Bổ sung: OTP đúng: lấy từ email sandbox; OTP sai: 000000; challenge UUID từ response; AI stub hỗ trợ success, timeout, HTTP 500, invalid JSON và oversized response</t>
        </is>
      </c>
      <c r="K6" s="4" t="inlineStr">
        <is>
          <t>1. Chuẩn bị dữ liệu đúng mục 'Điều kiện trước' và ghi lại các ID ban đầu.
2. Mở màn hình/API tương ứng ở trạng thái chưa xác thực, trừ khi kịch bản yêu cầu session có sẵn.
3. Thực hiện kịch bản: Nhập sai OTP lần 1–4.
4. Ghi lại HTTP status, response body và thông báo/điều hướng trên UI (nếu có).
5. Kiểm tra response, email sandbox, trạng thái user/challenge và không để lộ password/OTP.
6. So sánh toàn bộ kết quả với cột 'Kết quả mong đợi' và đính kèm evidence nếu Fail/Blocked.</t>
        </is>
      </c>
      <c r="L6" s="4" t="inlineStr">
        <is>
          <t>400; không kích hoạt tài khoản; số lần thử tăng đúng</t>
        </is>
      </c>
      <c r="M6" s="4" t="inlineStr">
        <is>
          <t>User, IAM account, preference và challenge nhất quán; không có user rác khi validation lỗi.</t>
        </is>
      </c>
      <c r="N6" s="4" t="inlineStr"/>
      <c r="O6" s="16" t="inlineStr">
        <is>
          <t>Not Run</t>
        </is>
      </c>
      <c r="P6" s="4" t="inlineStr"/>
      <c r="Q6" s="4" t="inlineStr"/>
      <c r="R6" s="4" t="inlineStr"/>
      <c r="S6" s="4" t="inlineStr"/>
      <c r="T6" s="4" t="inlineStr"/>
      <c r="U6" s="4" t="inlineStr">
        <is>
          <t>Candidate</t>
        </is>
      </c>
      <c r="V6" s="4" t="inlineStr"/>
    </row>
    <row r="7" ht="132" customHeight="1">
      <c r="A7" s="5" t="n">
        <v>4</v>
      </c>
      <c r="B7" s="17" t="inlineStr">
        <is>
          <t>COM01-04</t>
        </is>
      </c>
      <c r="C7" s="5" t="inlineStr">
        <is>
          <t>UC-COM-01</t>
        </is>
      </c>
      <c r="D7" s="5" t="inlineStr">
        <is>
          <t>Nhập sai OTP lần 5 rồi nhập mã đúng</t>
        </is>
      </c>
      <c r="E7" s="15" t="inlineStr">
        <is>
          <t>P0</t>
        </is>
      </c>
      <c r="F7" s="5" t="inlineStr">
        <is>
          <t>Functional</t>
        </is>
      </c>
      <c r="G7" s="5" t="inlineStr">
        <is>
          <t>API + UI/E2E</t>
        </is>
      </c>
      <c r="H7" s="5" t="inlineStr">
        <is>
          <t>POST /api/v1/common/auth/register/
POST /api/v1/common/auth/verify-registration/
POST /api/v1/common/auth/resend-verification/
POST /api/v1/common/auth/change-registration-email/</t>
        </is>
      </c>
      <c r="I7" s="5" t="inlineStr">
        <is>
          <t>Email/username/phone chưa tồn tại, trừ khi test case yêu cầu dữ liệu trùng. Email sandbox hoạt động.</t>
        </is>
      </c>
      <c r="J7" s="5" t="inlineStr">
        <is>
          <t>email=qa.com01+&lt;timestamp&gt;@example.com; username=qa_com01_&lt;timestamp&gt;; phone=0901&lt;6 số&gt;; password=StrongPass!2026
Bổ sung: OTP đúng: lấy từ email sandbox; OTP sai: 000000; challenge UUID từ response; AI stub hỗ trợ success, timeout, HTTP 500, invalid JSON và oversized response</t>
        </is>
      </c>
      <c r="K7" s="5" t="inlineStr">
        <is>
          <t>1. Chuẩn bị dữ liệu đúng mục 'Điều kiện trước' và ghi lại các ID ban đầu.
2. Mở màn hình/API tương ứng ở trạng thái chưa xác thực, trừ khi kịch bản yêu cầu session có sẵn.
3. Thực hiện kịch bản: Nhập sai OTP lần 5 rồi nhập mã đúng.
4. Ghi lại HTTP status, response body và thông báo/điều hướng trên UI (nếu có).
5. Kiểm tra response, email sandbox, trạng thái user/challenge và không để lộ password/OTP.
6. So sánh toàn bộ kết quả với cột 'Kết quả mong đợi' và đính kèm evidence nếu Fail/Blocked.</t>
        </is>
      </c>
      <c r="L7" s="5" t="inlineStr">
        <is>
          <t>Challenge bị vô hiệu; mã đúng sau đó vẫn bị từ chối</t>
        </is>
      </c>
      <c r="M7" s="5" t="inlineStr">
        <is>
          <t>User, IAM account, preference và challenge nhất quán; không có user rác khi validation lỗi.</t>
        </is>
      </c>
      <c r="N7" s="5" t="inlineStr"/>
      <c r="O7" s="18" t="inlineStr">
        <is>
          <t>Not Run</t>
        </is>
      </c>
      <c r="P7" s="5" t="inlineStr"/>
      <c r="Q7" s="5" t="inlineStr"/>
      <c r="R7" s="5" t="inlineStr"/>
      <c r="S7" s="5" t="inlineStr"/>
      <c r="T7" s="5" t="inlineStr"/>
      <c r="U7" s="5" t="inlineStr">
        <is>
          <t>Candidate</t>
        </is>
      </c>
      <c r="V7" s="5" t="inlineStr"/>
    </row>
    <row r="8" ht="132" customHeight="1">
      <c r="A8" s="4" t="n">
        <v>5</v>
      </c>
      <c r="B8" s="14" t="inlineStr">
        <is>
          <t>COM01-05</t>
        </is>
      </c>
      <c r="C8" s="4" t="inlineStr">
        <is>
          <t>UC-COM-01</t>
        </is>
      </c>
      <c r="D8" s="4" t="inlineStr">
        <is>
          <t>OTP hết hạn hoặc đã dùng</t>
        </is>
      </c>
      <c r="E8" s="15" t="inlineStr">
        <is>
          <t>P0</t>
        </is>
      </c>
      <c r="F8" s="4" t="inlineStr">
        <is>
          <t>Functional</t>
        </is>
      </c>
      <c r="G8" s="4" t="inlineStr">
        <is>
          <t>API + UI/E2E</t>
        </is>
      </c>
      <c r="H8" s="4" t="inlineStr">
        <is>
          <t>POST /api/v1/common/auth/register/
POST /api/v1/common/auth/verify-registration/
POST /api/v1/common/auth/resend-verification/
POST /api/v1/common/auth/change-registration-email/</t>
        </is>
      </c>
      <c r="I8" s="4" t="inlineStr">
        <is>
          <t>Email/username/phone chưa tồn tại, trừ khi test case yêu cầu dữ liệu trùng. Email sandbox hoạt động.</t>
        </is>
      </c>
      <c r="J8" s="4" t="inlineStr">
        <is>
          <t>email=qa.com01+&lt;timestamp&gt;@example.com; username=qa_com01_&lt;timestamp&gt;; phone=0901&lt;6 số&gt;; password=StrongPass!2026
Bổ sung: OTP đúng: lấy từ email sandbox; OTP sai: 000000; challenge UUID từ response; Điều chỉnh expires_at về quá khứ bằng fixture/admin test</t>
        </is>
      </c>
      <c r="K8" s="4" t="inlineStr">
        <is>
          <t>1. Chuẩn bị dữ liệu đúng mục 'Điều kiện trước' và ghi lại các ID ban đầu.
2. Mở màn hình/API tương ứng ở trạng thái chưa xác thực, trừ khi kịch bản yêu cầu session có sẵn.
3. Thực hiện kịch bản: OTP hết hạn hoặc đã dùng.
4. Ghi lại HTTP status, response body và thông báo/điều hướng trên UI (nếu có).
5. Kiểm tra response, email sandbox, trạng thái user/challenge và không để lộ password/OTP.
6. So sánh toàn bộ kết quả với cột 'Kết quả mong đợi' và đính kèm evidence nếu Fail/Blocked.</t>
        </is>
      </c>
      <c r="L8" s="4" t="inlineStr">
        <is>
          <t>400; không kích hoạt; không thể replay OTP</t>
        </is>
      </c>
      <c r="M8" s="4" t="inlineStr">
        <is>
          <t>User, IAM account, preference và challenge nhất quán; không có user rác khi validation lỗi.</t>
        </is>
      </c>
      <c r="N8" s="4" t="inlineStr"/>
      <c r="O8" s="16" t="inlineStr">
        <is>
          <t>Not Run</t>
        </is>
      </c>
      <c r="P8" s="4" t="inlineStr"/>
      <c r="Q8" s="4" t="inlineStr"/>
      <c r="R8" s="4" t="inlineStr"/>
      <c r="S8" s="4" t="inlineStr"/>
      <c r="T8" s="4" t="inlineStr"/>
      <c r="U8" s="4" t="inlineStr">
        <is>
          <t>Candidate</t>
        </is>
      </c>
      <c r="V8" s="4" t="inlineStr"/>
    </row>
    <row r="9" ht="132" customHeight="1">
      <c r="A9" s="5" t="n">
        <v>6</v>
      </c>
      <c r="B9" s="17" t="inlineStr">
        <is>
          <t>COM01-06</t>
        </is>
      </c>
      <c r="C9" s="5" t="inlineStr">
        <is>
          <t>UC-COM-01</t>
        </is>
      </c>
      <c r="D9" s="5" t="inlineStr">
        <is>
          <t>Gửi lại OTP sau cooldown</t>
        </is>
      </c>
      <c r="E9" s="19" t="inlineStr">
        <is>
          <t>P1</t>
        </is>
      </c>
      <c r="F9" s="5" t="inlineStr">
        <is>
          <t>Functional</t>
        </is>
      </c>
      <c r="G9" s="5" t="inlineStr">
        <is>
          <t>API + UI/E2E</t>
        </is>
      </c>
      <c r="H9" s="5" t="inlineStr">
        <is>
          <t>POST /api/v1/common/auth/register/
POST /api/v1/common/auth/verify-registration/
POST /api/v1/common/auth/resend-verification/
POST /api/v1/common/auth/change-registration-email/</t>
        </is>
      </c>
      <c r="I9" s="5" t="inlineStr">
        <is>
          <t>Email/username/phone chưa tồn tại, trừ khi test case yêu cầu dữ liệu trùng. Email sandbox hoạt động.</t>
        </is>
      </c>
      <c r="J9" s="5" t="inlineStr">
        <is>
          <t>email=qa.com01+&lt;timestamp&gt;@example.com; username=qa_com01_&lt;timestamp&gt;; phone=0901&lt;6 số&gt;; password=StrongPass!2026
Bổ sung: OTP đúng: lấy từ email sandbox; OTP sai: 000000; challenge UUID từ response</t>
        </is>
      </c>
      <c r="K9" s="5" t="inlineStr">
        <is>
          <t>1. Chuẩn bị dữ liệu đúng mục 'Điều kiện trước' và ghi lại các ID ban đầu.
2. Mở màn hình/API tương ứng ở trạng thái chưa xác thực, trừ khi kịch bản yêu cầu session có sẵn.
3. Thực hiện kịch bản: Gửi lại OTP sau cooldown.
4. Ghi lại HTTP status, response body và thông báo/điều hướng trên UI (nếu có).
5. Kiểm tra response, email sandbox, trạng thái user/challenge và không để lộ password/OTP.
6. So sánh toàn bộ kết quả với cột 'Kết quả mong đợi' và đính kèm evidence nếu Fail/Blocked.</t>
        </is>
      </c>
      <c r="L9" s="5" t="inlineStr">
        <is>
          <t>202; challenge cũ consumed, challenge mới có hiệu lực, gửi đúng email</t>
        </is>
      </c>
      <c r="M9" s="5" t="inlineStr">
        <is>
          <t>User, IAM account, preference và challenge nhất quán; không có user rác khi validation lỗi.</t>
        </is>
      </c>
      <c r="N9" s="5" t="inlineStr"/>
      <c r="O9" s="18" t="inlineStr">
        <is>
          <t>Not Run</t>
        </is>
      </c>
      <c r="P9" s="5" t="inlineStr"/>
      <c r="Q9" s="5" t="inlineStr"/>
      <c r="R9" s="5" t="inlineStr"/>
      <c r="S9" s="5" t="inlineStr"/>
      <c r="T9" s="5" t="inlineStr"/>
      <c r="U9" s="5" t="inlineStr">
        <is>
          <t>Candidate</t>
        </is>
      </c>
      <c r="V9" s="5" t="inlineStr"/>
    </row>
    <row r="10" ht="132" customHeight="1">
      <c r="A10" s="4" t="n">
        <v>7</v>
      </c>
      <c r="B10" s="14" t="inlineStr">
        <is>
          <t>COM01-07</t>
        </is>
      </c>
      <c r="C10" s="4" t="inlineStr">
        <is>
          <t>UC-COM-01</t>
        </is>
      </c>
      <c r="D10" s="4" t="inlineStr">
        <is>
          <t>Gửi lại OTP trong 60 giây</t>
        </is>
      </c>
      <c r="E10" s="19" t="inlineStr">
        <is>
          <t>P1</t>
        </is>
      </c>
      <c r="F10" s="4" t="inlineStr">
        <is>
          <t>Functional</t>
        </is>
      </c>
      <c r="G10" s="4" t="inlineStr">
        <is>
          <t>API + UI/E2E</t>
        </is>
      </c>
      <c r="H10" s="4" t="inlineStr">
        <is>
          <t>POST /api/v1/common/auth/register/
POST /api/v1/common/auth/verify-registration/
POST /api/v1/common/auth/resend-verification/
POST /api/v1/common/auth/change-registration-email/</t>
        </is>
      </c>
      <c r="I10" s="4" t="inlineStr">
        <is>
          <t>Email/username/phone chưa tồn tại, trừ khi test case yêu cầu dữ liệu trùng. Email sandbox hoạt động.</t>
        </is>
      </c>
      <c r="J10" s="4" t="inlineStr">
        <is>
          <t>email=qa.com01+&lt;timestamp&gt;@example.com; username=qa_com01_&lt;timestamp&gt;; phone=0901&lt;6 số&gt;; password=StrongPass!2026
Bổ sung: OTP đúng: lấy từ email sandbox; OTP sai: 000000; challenge UUID từ response</t>
        </is>
      </c>
      <c r="K10" s="4" t="inlineStr">
        <is>
          <t>1. Chuẩn bị dữ liệu đúng mục 'Điều kiện trước' và ghi lại các ID ban đầu.
2. Mở màn hình/API tương ứng ở trạng thái chưa xác thực, trừ khi kịch bản yêu cầu session có sẵn.
3. Thực hiện kịch bản: Gửi lại OTP trong 60 giây.
4. Ghi lại HTTP status, response body và thông báo/điều hướng trên UI (nếu có).
5. Kiểm tra response, email sandbox, trạng thái user/challenge và không để lộ password/OTP.
6. So sánh toàn bộ kết quả với cột 'Kết quả mong đợi' và đính kèm evidence nếu Fail/Blocked.</t>
        </is>
      </c>
      <c r="L10" s="4" t="inlineStr">
        <is>
          <t>400 và có retry_after; không gửi thêm email</t>
        </is>
      </c>
      <c r="M10" s="4" t="inlineStr">
        <is>
          <t>User, IAM account, preference và challenge nhất quán; không có user rác khi validation lỗi.</t>
        </is>
      </c>
      <c r="N10" s="4" t="inlineStr"/>
      <c r="O10" s="16" t="inlineStr">
        <is>
          <t>Not Run</t>
        </is>
      </c>
      <c r="P10" s="4" t="inlineStr"/>
      <c r="Q10" s="4" t="inlineStr"/>
      <c r="R10" s="4" t="inlineStr"/>
      <c r="S10" s="4" t="inlineStr"/>
      <c r="T10" s="4" t="inlineStr"/>
      <c r="U10" s="4" t="inlineStr">
        <is>
          <t>Candidate</t>
        </is>
      </c>
      <c r="V10" s="4" t="inlineStr"/>
    </row>
    <row r="11" ht="132" customHeight="1">
      <c r="A11" s="5" t="n">
        <v>8</v>
      </c>
      <c r="B11" s="17" t="inlineStr">
        <is>
          <t>COM01-08</t>
        </is>
      </c>
      <c r="C11" s="5" t="inlineStr">
        <is>
          <t>UC-COM-01</t>
        </is>
      </c>
      <c r="D11" s="5" t="inlineStr">
        <is>
          <t>Email/username/số điện thoại trùng, kể cả khác hoa thường</t>
        </is>
      </c>
      <c r="E11" s="15" t="inlineStr">
        <is>
          <t>P0</t>
        </is>
      </c>
      <c r="F11" s="5" t="inlineStr">
        <is>
          <t>Functional</t>
        </is>
      </c>
      <c r="G11" s="5" t="inlineStr">
        <is>
          <t>API + UI/E2E</t>
        </is>
      </c>
      <c r="H11" s="5" t="inlineStr">
        <is>
          <t>POST /api/v1/common/auth/register/
POST /api/v1/common/auth/verify-registration/
POST /api/v1/common/auth/resend-verification/
POST /api/v1/common/auth/change-registration-email/</t>
        </is>
      </c>
      <c r="I11" s="5" t="inlineStr">
        <is>
          <t>Email/username/phone chưa tồn tại, trừ khi test case yêu cầu dữ liệu trùng. Email sandbox hoạt động.</t>
        </is>
      </c>
      <c r="J11" s="5" t="inlineStr">
        <is>
          <t>email=qa.com01+&lt;timestamp&gt;@example.com; username=qa_com01_&lt;timestamp&gt;; phone=0901&lt;6 số&gt;; password=StrongPass!2026
Bổ sung: Chuẩn bị trước một bản ghi có cùng giá trị cần kiểm tra; AI stub hỗ trợ success, timeout, HTTP 500, invalid JSON và oversized response</t>
        </is>
      </c>
      <c r="K11" s="5" t="inlineStr">
        <is>
          <t>1. Chuẩn bị dữ liệu đúng mục 'Điều kiện trước' và ghi lại các ID ban đầu.
2. Mở màn hình/API tương ứng ở trạng thái chưa xác thực, trừ khi kịch bản yêu cầu session có sẵn.
3. Thực hiện kịch bản: Email/username/số điện thoại trùng, kể cả khác hoa thường.
4. Ghi lại HTTP status, response body và thông báo/điều hướng trên UI (nếu có).
5. Kiểm tra response, email sandbox, trạng thái user/challenge và không để lộ password/OTP.
6. So sánh toàn bộ kết quả với cột 'Kết quả mong đợi' và đính kèm evidence nếu Fail/Blocked.</t>
        </is>
      </c>
      <c r="L11" s="5" t="inlineStr">
        <is>
          <t>400; không tạo bản ghi dở dang</t>
        </is>
      </c>
      <c r="M11" s="5" t="inlineStr">
        <is>
          <t>User, IAM account, preference và challenge nhất quán; không có user rác khi validation lỗi.</t>
        </is>
      </c>
      <c r="N11" s="5" t="inlineStr"/>
      <c r="O11" s="18" t="inlineStr">
        <is>
          <t>Not Run</t>
        </is>
      </c>
      <c r="P11" s="5" t="inlineStr"/>
      <c r="Q11" s="5" t="inlineStr"/>
      <c r="R11" s="5" t="inlineStr"/>
      <c r="S11" s="5" t="inlineStr"/>
      <c r="T11" s="5" t="inlineStr"/>
      <c r="U11" s="5" t="inlineStr">
        <is>
          <t>Candidate</t>
        </is>
      </c>
      <c r="V11" s="5" t="inlineStr"/>
    </row>
    <row r="12" ht="132" customHeight="1">
      <c r="A12" s="4" t="n">
        <v>9</v>
      </c>
      <c r="B12" s="14" t="inlineStr">
        <is>
          <t>COM01-09</t>
        </is>
      </c>
      <c r="C12" s="4" t="inlineStr">
        <is>
          <t>UC-COM-01</t>
        </is>
      </c>
      <c r="D12" s="4" t="inlineStr">
        <is>
          <t>Mật khẩu yếu, xác nhận sai, chưa chấp nhận điều khoản</t>
        </is>
      </c>
      <c r="E12" s="19" t="inlineStr">
        <is>
          <t>P1</t>
        </is>
      </c>
      <c r="F12" s="4" t="inlineStr">
        <is>
          <t>Functional</t>
        </is>
      </c>
      <c r="G12" s="4" t="inlineStr">
        <is>
          <t>API + UI/E2E</t>
        </is>
      </c>
      <c r="H12" s="4" t="inlineStr">
        <is>
          <t>POST /api/v1/common/auth/register/
POST /api/v1/common/auth/verify-registration/
POST /api/v1/common/auth/resend-verification/
POST /api/v1/common/auth/change-registration-email/</t>
        </is>
      </c>
      <c r="I12" s="4" t="inlineStr">
        <is>
          <t>Email/username/phone chưa tồn tại, trừ khi test case yêu cầu dữ liệu trùng. Email sandbox hoạt động.</t>
        </is>
      </c>
      <c r="J12" s="4" t="inlineStr">
        <is>
          <t>email=qa.com01+&lt;timestamp&gt;@example.com; username=qa_com01_&lt;timestamp&gt;; phone=0901&lt;6 số&gt;; password=StrongPass!2026
Bổ sung: password yếu: 12345678 / password / khongKyTuDacBiet1; AI stub hỗ trợ success, timeout, HTTP 500, invalid JSON và oversized response</t>
        </is>
      </c>
      <c r="K12" s="4" t="inlineStr">
        <is>
          <t>1. Chuẩn bị dữ liệu đúng mục 'Điều kiện trước' và ghi lại các ID ban đầu.
2. Mở màn hình/API tương ứng ở trạng thái chưa xác thực, trừ khi kịch bản yêu cầu session có sẵn.
3. Thực hiện kịch bản: Mật khẩu yếu, xác nhận sai, chưa chấp nhận điều khoản.
4. Ghi lại HTTP status, response body và thông báo/điều hướng trên UI (nếu có).
5. Kiểm tra response, email sandbox, trạng thái user/challenge và không để lộ password/OTP.
6. So sánh toàn bộ kết quả với cột 'Kết quả mong đợi' và đính kèm evidence nếu Fail/Blocked.</t>
        </is>
      </c>
      <c r="L12" s="4" t="inlineStr">
        <is>
          <t>400 theo đúng field; không tạo user</t>
        </is>
      </c>
      <c r="M12" s="4" t="inlineStr">
        <is>
          <t>User, IAM account, preference và challenge nhất quán; không có user rác khi validation lỗi.</t>
        </is>
      </c>
      <c r="N12" s="4" t="inlineStr"/>
      <c r="O12" s="16" t="inlineStr">
        <is>
          <t>Not Run</t>
        </is>
      </c>
      <c r="P12" s="4" t="inlineStr"/>
      <c r="Q12" s="4" t="inlineStr"/>
      <c r="R12" s="4" t="inlineStr"/>
      <c r="S12" s="4" t="inlineStr"/>
      <c r="T12" s="4" t="inlineStr"/>
      <c r="U12" s="4" t="inlineStr">
        <is>
          <t>Candidate</t>
        </is>
      </c>
      <c r="V12" s="4" t="inlineStr"/>
    </row>
    <row r="13" ht="132" customHeight="1">
      <c r="A13" s="5" t="n">
        <v>10</v>
      </c>
      <c r="B13" s="17" t="inlineStr">
        <is>
          <t>COM01-10</t>
        </is>
      </c>
      <c r="C13" s="5" t="inlineStr">
        <is>
          <t>UC-COM-01</t>
        </is>
      </c>
      <c r="D13" s="5" t="inlineStr">
        <is>
          <t>Email/phone sai định dạng; tên chỉ có khoảng trắng; field vượt max length</t>
        </is>
      </c>
      <c r="E13" s="19" t="inlineStr">
        <is>
          <t>P1</t>
        </is>
      </c>
      <c r="F13" s="5" t="inlineStr">
        <is>
          <t>Functional</t>
        </is>
      </c>
      <c r="G13" s="5" t="inlineStr">
        <is>
          <t>API + UI/E2E</t>
        </is>
      </c>
      <c r="H13" s="5" t="inlineStr">
        <is>
          <t>POST /api/v1/common/auth/register/
POST /api/v1/common/auth/verify-registration/
POST /api/v1/common/auth/resend-verification/
POST /api/v1/common/auth/change-registration-email/</t>
        </is>
      </c>
      <c r="I13" s="5" t="inlineStr">
        <is>
          <t>Email/username/phone chưa tồn tại, trừ khi test case yêu cầu dữ liệu trùng. Email sandbox hoạt động.</t>
        </is>
      </c>
      <c r="J13" s="5" t="inlineStr">
        <is>
          <t>email=qa.com01+&lt;timestamp&gt;@example.com; username=qa_com01_&lt;timestamp&gt;; phone=0901&lt;6 số&gt;; password=StrongPass!2026
Bổ sung: AI stub hỗ trợ success, timeout, HTTP 500, invalid JSON và oversized response</t>
        </is>
      </c>
      <c r="K13" s="5" t="inlineStr">
        <is>
          <t>1. Chuẩn bị dữ liệu đúng mục 'Điều kiện trước' và ghi lại các ID ban đầu.
2. Mở màn hình/API tương ứng ở trạng thái chưa xác thực, trừ khi kịch bản yêu cầu session có sẵn.
3. Thực hiện kịch bản: Email/phone sai định dạng; tên chỉ có khoảng trắng; field vượt max length.
4. Ghi lại HTTP status, response body và thông báo/điều hướng trên UI (nếu có).
5. Kiểm tra response, email sandbox, trạng thái user/challenge và không để lộ password/OTP.
6. So sánh toàn bộ kết quả với cột 'Kết quả mong đợi' và đính kèm evidence nếu Fail/Blocked.</t>
        </is>
      </c>
      <c r="L13" s="5" t="inlineStr">
        <is>
          <t>400 và thông báo validation phù hợp</t>
        </is>
      </c>
      <c r="M13" s="5" t="inlineStr">
        <is>
          <t>User, IAM account, preference và challenge nhất quán; không có user rác khi validation lỗi.</t>
        </is>
      </c>
      <c r="N13" s="5" t="inlineStr"/>
      <c r="O13" s="18" t="inlineStr">
        <is>
          <t>Not Run</t>
        </is>
      </c>
      <c r="P13" s="5" t="inlineStr"/>
      <c r="Q13" s="5" t="inlineStr"/>
      <c r="R13" s="5" t="inlineStr"/>
      <c r="S13" s="5" t="inlineStr"/>
      <c r="T13" s="5" t="inlineStr"/>
      <c r="U13" s="5" t="inlineStr">
        <is>
          <t>Candidate</t>
        </is>
      </c>
      <c r="V13" s="5" t="inlineStr"/>
    </row>
    <row r="14" ht="132" customHeight="1">
      <c r="A14" s="4" t="n">
        <v>11</v>
      </c>
      <c r="B14" s="14" t="inlineStr">
        <is>
          <t>COM01-11</t>
        </is>
      </c>
      <c r="C14" s="4" t="inlineStr">
        <is>
          <t>UC-COM-01</t>
        </is>
      </c>
      <c r="D14" s="4" t="inlineStr">
        <is>
          <t>Đổi email khi đang chờ xác thực bằng challenge hợp lệ</t>
        </is>
      </c>
      <c r="E14" s="19" t="inlineStr">
        <is>
          <t>P1</t>
        </is>
      </c>
      <c r="F14" s="4" t="inlineStr">
        <is>
          <t>Functional</t>
        </is>
      </c>
      <c r="G14" s="4" t="inlineStr">
        <is>
          <t>API + UI/E2E</t>
        </is>
      </c>
      <c r="H14" s="4" t="inlineStr">
        <is>
          <t>POST /api/v1/common/auth/register/
POST /api/v1/common/auth/verify-registration/
POST /api/v1/common/auth/resend-verification/
POST /api/v1/common/auth/change-registration-email/</t>
        </is>
      </c>
      <c r="I14" s="4" t="inlineStr">
        <is>
          <t>Email/username/phone chưa tồn tại, trừ khi test case yêu cầu dữ liệu trùng. Email sandbox hoạt động.</t>
        </is>
      </c>
      <c r="J14" s="4" t="inlineStr">
        <is>
          <t>email=qa.com01+&lt;timestamp&gt;@example.com; username=qa_com01_&lt;timestamp&gt;; phone=0901&lt;6 số&gt;; password=StrongPass!2026
Bổ sung: AI stub hỗ trợ success, timeout, HTTP 500, invalid JSON và oversized response</t>
        </is>
      </c>
      <c r="K14" s="4" t="inlineStr">
        <is>
          <t>1. Chuẩn bị dữ liệu đúng mục 'Điều kiện trước' và ghi lại các ID ban đầu.
2. Mở màn hình/API tương ứng ở trạng thái chưa xác thực, trừ khi kịch bản yêu cầu session có sẵn.
3. Thực hiện kịch bản: Đổi email khi đang chờ xác thực bằng challenge hợp lệ.
4. Ghi lại HTTP status, response body và thông báo/điều hướng trên UI (nếu có).
5. Kiểm tra response, email sandbox, trạng thái user/challenge và không để lộ password/OTP.
6. So sánh toàn bộ kết quả với cột 'Kết quả mong đợi' và đính kèm evidence nếu Fail/Blocked.</t>
        </is>
      </c>
      <c r="L14" s="4" t="inlineStr">
        <is>
          <t>Email/user preference cập nhật; OTP cũ mất hiệu lực; OTP mới gửi đến email mới</t>
        </is>
      </c>
      <c r="M14" s="4" t="inlineStr">
        <is>
          <t>User, IAM account, preference và challenge nhất quán; không có user rác khi validation lỗi.</t>
        </is>
      </c>
      <c r="N14" s="4" t="inlineStr"/>
      <c r="O14" s="16" t="inlineStr">
        <is>
          <t>Not Run</t>
        </is>
      </c>
      <c r="P14" s="4" t="inlineStr"/>
      <c r="Q14" s="4" t="inlineStr"/>
      <c r="R14" s="4" t="inlineStr"/>
      <c r="S14" s="4" t="inlineStr"/>
      <c r="T14" s="4" t="inlineStr"/>
      <c r="U14" s="4" t="inlineStr">
        <is>
          <t>Candidate</t>
        </is>
      </c>
      <c r="V14" s="4" t="inlineStr"/>
    </row>
    <row r="15" ht="132" customHeight="1">
      <c r="A15" s="5" t="n">
        <v>12</v>
      </c>
      <c r="B15" s="17" t="inlineStr">
        <is>
          <t>COM01-12</t>
        </is>
      </c>
      <c r="C15" s="5" t="inlineStr">
        <is>
          <t>UC-COM-01</t>
        </is>
      </c>
      <c r="D15" s="5" t="inlineStr">
        <is>
          <t>Đổi sang email đã dùng hoặc dùng challenge của đăng ký đã active</t>
        </is>
      </c>
      <c r="E15" s="15" t="inlineStr">
        <is>
          <t>P0</t>
        </is>
      </c>
      <c r="F15" s="5" t="inlineStr">
        <is>
          <t>Functional</t>
        </is>
      </c>
      <c r="G15" s="5" t="inlineStr">
        <is>
          <t>API + UI/E2E</t>
        </is>
      </c>
      <c r="H15" s="5" t="inlineStr">
        <is>
          <t>POST /api/v1/common/auth/register/
POST /api/v1/common/auth/verify-registration/
POST /api/v1/common/auth/resend-verification/
POST /api/v1/common/auth/change-registration-email/</t>
        </is>
      </c>
      <c r="I15" s="5" t="inlineStr">
        <is>
          <t>Email/username/phone chưa tồn tại, trừ khi test case yêu cầu dữ liệu trùng. Email sandbox hoạt động.</t>
        </is>
      </c>
      <c r="J15" s="5" t="inlineStr">
        <is>
          <t>email=qa.com01+&lt;timestamp&gt;@example.com; username=qa_com01_&lt;timestamp&gt;; phone=0901&lt;6 số&gt;; password=StrongPass!2026
Bổ sung: AI stub hỗ trợ success, timeout, HTTP 500, invalid JSON và oversized response</t>
        </is>
      </c>
      <c r="K15" s="5" t="inlineStr">
        <is>
          <t>1. Chuẩn bị dữ liệu đúng mục 'Điều kiện trước' và ghi lại các ID ban đầu.
2. Mở màn hình/API tương ứng ở trạng thái chưa xác thực, trừ khi kịch bản yêu cầu session có sẵn.
3. Thực hiện kịch bản: Đổi sang email đã dùng hoặc dùng challenge của đăng ký đã active.
4. Ghi lại HTTP status, response body và thông báo/điều hướng trên UI (nếu có).
5. Kiểm tra response, email sandbox, trạng thái user/challenge và không để lộ password/OTP.
6. So sánh toàn bộ kết quả với cột 'Kết quả mong đợi' và đính kèm evidence nếu Fail/Blocked.</t>
        </is>
      </c>
      <c r="L15" s="5" t="inlineStr">
        <is>
          <t>400; không thay đổi email</t>
        </is>
      </c>
      <c r="M15" s="5" t="inlineStr">
        <is>
          <t>User, IAM account, preference và challenge nhất quán; không có user rác khi validation lỗi.</t>
        </is>
      </c>
      <c r="N15" s="5" t="inlineStr"/>
      <c r="O15" s="18" t="inlineStr">
        <is>
          <t>Not Run</t>
        </is>
      </c>
      <c r="P15" s="5" t="inlineStr"/>
      <c r="Q15" s="5" t="inlineStr"/>
      <c r="R15" s="5" t="inlineStr"/>
      <c r="S15" s="5" t="inlineStr"/>
      <c r="T15" s="5" t="inlineStr"/>
      <c r="U15" s="5" t="inlineStr">
        <is>
          <t>Candidate</t>
        </is>
      </c>
      <c r="V15" s="5" t="inlineStr"/>
    </row>
    <row r="16" ht="132" customHeight="1">
      <c r="A16" s="4" t="n">
        <v>13</v>
      </c>
      <c r="B16" s="14" t="inlineStr">
        <is>
          <t>COM01-13</t>
        </is>
      </c>
      <c r="C16" s="4" t="inlineStr">
        <is>
          <t>UC-COM-01</t>
        </is>
      </c>
      <c r="D16" s="4" t="inlineStr">
        <is>
          <t>Gọi xác thực thành công lặp lại cùng challenge</t>
        </is>
      </c>
      <c r="E16" s="19" t="inlineStr">
        <is>
          <t>P1</t>
        </is>
      </c>
      <c r="F16" s="4" t="inlineStr">
        <is>
          <t>Concurrency/Idempotency</t>
        </is>
      </c>
      <c r="G16" s="4" t="inlineStr">
        <is>
          <t>Integration</t>
        </is>
      </c>
      <c r="H16" s="4" t="inlineStr">
        <is>
          <t>POST /api/v1/common/auth/register/
POST /api/v1/common/auth/verify-registration/
POST /api/v1/common/auth/resend-verification/
POST /api/v1/common/auth/change-registration-email/</t>
        </is>
      </c>
      <c r="I16" s="4" t="inlineStr">
        <is>
          <t>Email/username/phone chưa tồn tại, trừ khi test case yêu cầu dữ liệu trùng. Email sandbox hoạt động.</t>
        </is>
      </c>
      <c r="J16" s="4" t="inlineStr">
        <is>
          <t>email=qa.com01+&lt;timestamp&gt;@example.com; username=qa_com01_&lt;timestamp&gt;; phone=0901&lt;6 số&gt;; password=StrongPass!2026</t>
        </is>
      </c>
      <c r="K16" s="4" t="inlineStr">
        <is>
          <t>1. Chuẩn bị dữ liệu đúng mục 'Điều kiện trước' và ghi lại các ID ban đầu.
2. Mở màn hình/API tương ứng ở trạng thái chưa xác thực, trừ khi kịch bản yêu cầu session có sẵn.
3. Thực hiện kịch bản: Gọi xác thực thành công lặp lại cùng challenge.
4. Ghi lại HTTP status, response body và thông báo/điều hướng trên UI (nếu có).
5. Kiểm tra response, email sandbox, trạng thái user/challenge và không để lộ password/OTP.
6. So sánh toàn bộ kết quả với cột 'Kết quả mong đợi' và đính kèm evidence nếu Fail/Blocked.</t>
        </is>
      </c>
      <c r="L16" s="4" t="inlineStr">
        <is>
          <t>Kết quả idempotent; không tạo session/dữ liệu sai ngoài dự kiến</t>
        </is>
      </c>
      <c r="M16" s="4" t="inlineStr">
        <is>
          <t>User, IAM account, preference và challenge nhất quán; không có user rác khi validation lỗi.</t>
        </is>
      </c>
      <c r="N16" s="4" t="inlineStr"/>
      <c r="O16" s="16" t="inlineStr">
        <is>
          <t>Not Run</t>
        </is>
      </c>
      <c r="P16" s="4" t="inlineStr"/>
      <c r="Q16" s="4" t="inlineStr"/>
      <c r="R16" s="4" t="inlineStr"/>
      <c r="S16" s="4" t="inlineStr"/>
      <c r="T16" s="4" t="inlineStr"/>
      <c r="U16" s="4" t="inlineStr">
        <is>
          <t>Candidate</t>
        </is>
      </c>
      <c r="V16" s="4" t="inlineStr"/>
    </row>
    <row r="17" ht="132" customHeight="1">
      <c r="A17" s="5" t="n">
        <v>14</v>
      </c>
      <c r="B17" s="17" t="inlineStr">
        <is>
          <t>COM01-14</t>
        </is>
      </c>
      <c r="C17" s="5" t="inlineStr">
        <is>
          <t>UC-COM-01</t>
        </is>
      </c>
      <c r="D17" s="5" t="inlineStr">
        <is>
          <t>Vượt rate limit đăng ký/OTP theo email hoặc IP</t>
        </is>
      </c>
      <c r="E17" s="15" t="inlineStr">
        <is>
          <t>P0</t>
        </is>
      </c>
      <c r="F17" s="5" t="inlineStr">
        <is>
          <t>Security/Authorization</t>
        </is>
      </c>
      <c r="G17" s="5" t="inlineStr">
        <is>
          <t>API + Integration</t>
        </is>
      </c>
      <c r="H17" s="5" t="inlineStr">
        <is>
          <t>POST /api/v1/common/auth/register/
POST /api/v1/common/auth/verify-registration/
POST /api/v1/common/auth/resend-verification/
POST /api/v1/common/auth/change-registration-email/</t>
        </is>
      </c>
      <c r="I17" s="5" t="inlineStr">
        <is>
          <t>Email/username/phone chưa tồn tại, trừ khi test case yêu cầu dữ liệu trùng. Email sandbox hoạt động.</t>
        </is>
      </c>
      <c r="J17" s="5" t="inlineStr">
        <is>
          <t>email=qa.com01+&lt;timestamp&gt;@example.com; username=qa_com01_&lt;timestamp&gt;; phone=0901&lt;6 số&gt;; password=StrongPass!2026
Bổ sung: OTP đúng: lấy từ email sandbox; OTP sai: 000000; challenge UUID từ response; Gửi request liên tiếp vượt ngưỡng cấu hình từ cùng identifier/IP; AI stub hỗ trợ success, timeout, HTTP 500, invalid JSON và oversized response</t>
        </is>
      </c>
      <c r="K17" s="5" t="inlineStr">
        <is>
          <t>1. Chuẩn bị dữ liệu đúng mục 'Điều kiện trước' và ghi lại các ID ban đầu.
2. Mở màn hình/API tương ứng ở trạng thái chưa xác thực, trừ khi kịch bản yêu cầu session có sẵn.
3. Thực hiện kịch bản: Vượt rate limit đăng ký/OTP theo email hoặc IP.
4. Ghi lại HTTP status, response body và thông báo/điều hướng trên UI (nếu có).
5. Kiểm tra response, email sandbox, trạng thái user/challenge và không để lộ password/OTP.
6. So sánh toàn bộ kết quả với cột 'Kết quả mong đợi' và đính kèm evidence nếu Fail/Blocked.</t>
        </is>
      </c>
      <c r="L17" s="5" t="inlineStr">
        <is>
          <t>429; khóa theo bucket đúng và không làm lộ OTP/dữ liệu tài khoản</t>
        </is>
      </c>
      <c r="M17" s="5" t="inlineStr">
        <is>
          <t>User, IAM account, preference và challenge nhất quán; không có user rác khi validation lỗi.</t>
        </is>
      </c>
      <c r="N17" s="5" t="inlineStr"/>
      <c r="O17" s="18" t="inlineStr">
        <is>
          <t>Not Run</t>
        </is>
      </c>
      <c r="P17" s="5" t="inlineStr"/>
      <c r="Q17" s="5" t="inlineStr"/>
      <c r="R17" s="5" t="inlineStr"/>
      <c r="S17" s="5" t="inlineStr"/>
      <c r="T17" s="5" t="inlineStr"/>
      <c r="U17" s="5" t="inlineStr">
        <is>
          <t>Candidate</t>
        </is>
      </c>
      <c r="V17" s="5" t="inlineStr"/>
    </row>
  </sheetData>
  <autoFilter ref="A3:V17"/>
  <mergeCells count="2">
    <mergeCell ref="A2:V2"/>
    <mergeCell ref="A1:V1"/>
  </mergeCells>
  <conditionalFormatting sqref="O4:O17">
    <cfRule type="expression" priority="1" dxfId="0">
      <formula>$O4="Pass"</formula>
    </cfRule>
    <cfRule type="expression" priority="2" dxfId="1">
      <formula>$O4="Fail"</formula>
    </cfRule>
    <cfRule type="expression" priority="3" dxfId="2">
      <formula>$O4="Blocked"</formula>
    </cfRule>
    <cfRule type="expression" priority="4" dxfId="3">
      <formula>$O4="N/A"</formula>
    </cfRule>
  </conditionalFormatting>
  <dataValidations count="3">
    <dataValidation sqref="O4:O17" showDropDown="0" showInputMessage="0" showErrorMessage="0" allowBlank="1" type="list">
      <formula1>"Not Run,Pass,Fail,Blocked,N/A"</formula1>
    </dataValidation>
    <dataValidation sqref="P4:P17" showDropDown="0" showInputMessage="0" showErrorMessage="0" allowBlank="1" type="list">
      <formula1>"S1 Critical,S2 High,S3 Medium,S4 Low"</formula1>
    </dataValidation>
    <dataValidation sqref="U4:U17" showDropDown="0" showInputMessage="0" showErrorMessage="0" allowBlank="1" type="list">
      <formula1>"Manual,Automated,Candidate,Not Applicable"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17"/>
  <sheetViews>
    <sheetView showGridLines="0"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4" customWidth="1" min="2" max="2"/>
    <col width="14" customWidth="1" min="3" max="3"/>
    <col width="42" customWidth="1" min="4" max="4"/>
    <col width="10" customWidth="1" min="5" max="5"/>
    <col width="23" customWidth="1" min="6" max="6"/>
    <col width="18" customWidth="1" min="7" max="7"/>
    <col width="50" customWidth="1" min="8" max="8"/>
    <col width="48" customWidth="1" min="9" max="9"/>
    <col width="50" customWidth="1" min="10" max="10"/>
    <col width="70" customWidth="1" min="11" max="11"/>
    <col width="62" customWidth="1" min="12" max="12"/>
    <col width="46" customWidth="1" min="13" max="13"/>
    <col width="50" customWidth="1" min="14" max="14"/>
    <col width="13" customWidth="1" min="15" max="15"/>
    <col width="16" customWidth="1" min="16" max="16"/>
    <col width="16" customWidth="1" min="17" max="17"/>
    <col width="18" customWidth="1" min="18" max="18"/>
    <col width="14" customWidth="1" min="19" max="19"/>
    <col width="30" customWidth="1" min="20" max="20"/>
    <col width="16" customWidth="1" min="21" max="21"/>
    <col width="34" customWidth="1" min="22" max="22"/>
  </cols>
  <sheetData>
    <row r="1" ht="32" customHeight="1">
      <c r="A1" s="1" t="inlineStr">
        <is>
          <t>UC-COM-02 – Gửi yêu cầu tham gia doanh nghiệp</t>
        </is>
      </c>
    </row>
    <row r="2" ht="30" customHeight="1">
      <c r="A2" s="2" t="inlineStr">
        <is>
          <t>Nguồn: COMMON_SERVICES_TEST_PLAN.md | 14 test case</t>
        </is>
      </c>
    </row>
    <row r="3" ht="38" customHeight="1">
      <c r="A3" s="3" t="inlineStr">
        <is>
          <t>STT</t>
        </is>
      </c>
      <c r="B3" s="3" t="inlineStr">
        <is>
          <t>Test Case ID</t>
        </is>
      </c>
      <c r="C3" s="3" t="inlineStr">
        <is>
          <t>UC ID</t>
        </is>
      </c>
      <c r="D3" s="3" t="inlineStr">
        <is>
          <t>Tên test case</t>
        </is>
      </c>
      <c r="E3" s="3" t="inlineStr">
        <is>
          <t>Priority</t>
        </is>
      </c>
      <c r="F3" s="3" t="inlineStr">
        <is>
          <t>Loại kiểm thử</t>
        </is>
      </c>
      <c r="G3" s="3" t="inlineStr">
        <is>
          <t>Lớp</t>
        </is>
      </c>
      <c r="H3" s="3" t="inlineStr">
        <is>
          <t>Endpoint/API</t>
        </is>
      </c>
      <c r="I3" s="3" t="inlineStr">
        <is>
          <t>Điều kiện trước</t>
        </is>
      </c>
      <c r="J3" s="3" t="inlineStr">
        <is>
          <t>Dữ liệu kiểm thử</t>
        </is>
      </c>
      <c r="K3" s="3" t="inlineStr">
        <is>
          <t>Các bước thực hiện</t>
        </is>
      </c>
      <c r="L3" s="3" t="inlineStr">
        <is>
          <t>Kết quả mong đợi</t>
        </is>
      </c>
      <c r="M3" s="3" t="inlineStr">
        <is>
          <t>Hậu điều kiện cần kiểm tra</t>
        </is>
      </c>
      <c r="N3" s="3" t="inlineStr">
        <is>
          <t>Actual Result</t>
        </is>
      </c>
      <c r="O3" s="3" t="inlineStr">
        <is>
          <t>Status</t>
        </is>
      </c>
      <c r="P3" s="3" t="inlineStr">
        <is>
          <t>Severity nếu lỗi</t>
        </is>
      </c>
      <c r="Q3" s="3" t="inlineStr">
        <is>
          <t>Defect ID</t>
        </is>
      </c>
      <c r="R3" s="3" t="inlineStr">
        <is>
          <t>Tester</t>
        </is>
      </c>
      <c r="S3" s="3" t="inlineStr">
        <is>
          <t>Ngày chạy</t>
        </is>
      </c>
      <c r="T3" s="3" t="inlineStr">
        <is>
          <t>Evidence/Link</t>
        </is>
      </c>
      <c r="U3" s="3" t="inlineStr">
        <is>
          <t>Automation</t>
        </is>
      </c>
      <c r="V3" s="3" t="inlineStr">
        <is>
          <t>Ghi chú</t>
        </is>
      </c>
    </row>
    <row r="4" ht="132" customHeight="1">
      <c r="A4" s="4" t="n">
        <v>1</v>
      </c>
      <c r="B4" s="14" t="inlineStr">
        <is>
          <t>COM02-01</t>
        </is>
      </c>
      <c r="C4" s="4" t="inlineStr">
        <is>
          <t>UC-COM-02</t>
        </is>
      </c>
      <c r="D4" s="4" t="inlineStr">
        <is>
          <t>Tìm doanh nghiệp theo mã/tên/mã số thuế với từ khóa &gt;= 2 ký tự</t>
        </is>
      </c>
      <c r="E4" s="19" t="inlineStr">
        <is>
          <t>P1</t>
        </is>
      </c>
      <c r="F4" s="4" t="inlineStr">
        <is>
          <t>Security/Authorization</t>
        </is>
      </c>
      <c r="G4" s="4" t="inlineStr">
        <is>
          <t>API + Integration</t>
        </is>
      </c>
      <c r="H4" s="4" t="inlineStr">
        <is>
          <t>GET /api/v1/common/companies/search/
GET|POST /api/v1/common/join-requests/
POST /api/v1/common/join-requests/{id}/cancel/
GET /api/v1/common/company-join-requests/
POST /api/v1/common/company-join-requests/{id}/decide/</t>
        </is>
      </c>
      <c r="I4" s="4" t="inlineStr">
        <is>
          <t>Có U2 (applicant), U7 (admin C1), C1 ACTIVE và Permission phù hợp theo từng test case.</t>
        </is>
      </c>
      <c r="J4" s="4" t="inlineStr">
        <is>
          <t>applicant=U2; admin=U7; company=C1; message=Xin tham gia doanh nghiệp</t>
        </is>
      </c>
      <c r="K4" s="4" t="inlineStr">
        <is>
          <t>1. Chuẩn bị dữ liệu đúng mục 'Điều kiện trước' và ghi lại các ID ban đầu.
2. Đăng nhập bằng đúng actor/role và chọn company/branch theo điều kiện trước.
3. Thực hiện kịch bản: Tìm doanh nghiệp theo mã/tên/mã số thuế với từ khóa &gt;= 2 ký tự.
4. Ghi lại HTTP status, response body và thông báo/điều hướng trên UI (nếu có).
5. Kiểm tra request, membership, quyết định, thông báo và quyền của cả applicant/admin.
6. So sánh toàn bộ kết quả với cột 'Kết quả mong đợi' và đính kèm evidence nếu Fail/Blocked.</t>
        </is>
      </c>
      <c r="L4" s="4" t="inlineStr">
        <is>
          <t>Chỉ trả doanh nghiệp ACTIVE, tối đa 20; mã số thuế được che chỉ còn 4 số cuối</t>
        </is>
      </c>
      <c r="M4" s="4" t="inlineStr">
        <is>
          <t>Không có pending request/membership/notification trùng; decided_by/at chính xác.</t>
        </is>
      </c>
      <c r="N4" s="4" t="inlineStr"/>
      <c r="O4" s="16" t="inlineStr">
        <is>
          <t>Not Run</t>
        </is>
      </c>
      <c r="P4" s="4" t="inlineStr"/>
      <c r="Q4" s="4" t="inlineStr"/>
      <c r="R4" s="4" t="inlineStr"/>
      <c r="S4" s="4" t="inlineStr"/>
      <c r="T4" s="4" t="inlineStr"/>
      <c r="U4" s="4" t="inlineStr">
        <is>
          <t>Candidate</t>
        </is>
      </c>
      <c r="V4" s="4" t="inlineStr"/>
    </row>
    <row r="5" ht="132" customHeight="1">
      <c r="A5" s="5" t="n">
        <v>2</v>
      </c>
      <c r="B5" s="17" t="inlineStr">
        <is>
          <t>COM02-02</t>
        </is>
      </c>
      <c r="C5" s="5" t="inlineStr">
        <is>
          <t>UC-COM-02</t>
        </is>
      </c>
      <c r="D5" s="5" t="inlineStr">
        <is>
          <t>Từ khóa tìm doanh nghiệp &lt; 2 ký tự</t>
        </is>
      </c>
      <c r="E5" s="19" t="inlineStr">
        <is>
          <t>P1</t>
        </is>
      </c>
      <c r="F5" s="5" t="inlineStr">
        <is>
          <t>Security/Authorization</t>
        </is>
      </c>
      <c r="G5" s="5" t="inlineStr">
        <is>
          <t>API + Integration</t>
        </is>
      </c>
      <c r="H5" s="5" t="inlineStr">
        <is>
          <t>GET /api/v1/common/companies/search/
GET|POST /api/v1/common/join-requests/
POST /api/v1/common/join-requests/{id}/cancel/
GET /api/v1/common/company-join-requests/
POST /api/v1/common/company-join-requests/{id}/decide/</t>
        </is>
      </c>
      <c r="I5" s="5" t="inlineStr">
        <is>
          <t>Có U2 (applicant), U7 (admin C1), C1 ACTIVE và Permission phù hợp theo từng test case.</t>
        </is>
      </c>
      <c r="J5" s="5" t="inlineStr">
        <is>
          <t>applicant=U2; admin=U7; company=C1; message=Xin tham gia doanh nghiệp</t>
        </is>
      </c>
      <c r="K5" s="5" t="inlineStr">
        <is>
          <t>1. Chuẩn bị dữ liệu đúng mục 'Điều kiện trước' và ghi lại các ID ban đầu.
2. Đăng nhập bằng đúng actor/role và chọn company/branch theo điều kiện trước.
3. Thực hiện kịch bản: Từ khóa tìm doanh nghiệp &lt; 2 ký tự.
4. Ghi lại HTTP status, response body và thông báo/điều hướng trên UI (nếu có).
5. Kiểm tra request, membership, quyết định, thông báo và quyền của cả applicant/admin.
6. So sánh toàn bộ kết quả với cột 'Kết quả mong đợi' và đính kèm evidence nếu Fail/Blocked.</t>
        </is>
      </c>
      <c r="L5" s="5" t="inlineStr">
        <is>
          <t>400; không trả toàn bộ danh sách</t>
        </is>
      </c>
      <c r="M5" s="5" t="inlineStr">
        <is>
          <t>Không có pending request/membership/notification trùng; decided_by/at chính xác.</t>
        </is>
      </c>
      <c r="N5" s="5" t="inlineStr"/>
      <c r="O5" s="18" t="inlineStr">
        <is>
          <t>Not Run</t>
        </is>
      </c>
      <c r="P5" s="5" t="inlineStr"/>
      <c r="Q5" s="5" t="inlineStr"/>
      <c r="R5" s="5" t="inlineStr"/>
      <c r="S5" s="5" t="inlineStr"/>
      <c r="T5" s="5" t="inlineStr"/>
      <c r="U5" s="5" t="inlineStr">
        <is>
          <t>Candidate</t>
        </is>
      </c>
      <c r="V5" s="5" t="inlineStr"/>
    </row>
    <row r="6" ht="132" customHeight="1">
      <c r="A6" s="4" t="n">
        <v>3</v>
      </c>
      <c r="B6" s="14" t="inlineStr">
        <is>
          <t>COM02-03</t>
        </is>
      </c>
      <c r="C6" s="4" t="inlineStr">
        <is>
          <t>UC-COM-02</t>
        </is>
      </c>
      <c r="D6" s="4" t="inlineStr">
        <is>
          <t>Gửi yêu cầu hợp lệ tới C1</t>
        </is>
      </c>
      <c r="E6" s="15" t="inlineStr">
        <is>
          <t>P0</t>
        </is>
      </c>
      <c r="F6" s="4" t="inlineStr">
        <is>
          <t>Functional</t>
        </is>
      </c>
      <c r="G6" s="4" t="inlineStr">
        <is>
          <t>API + UI/E2E</t>
        </is>
      </c>
      <c r="H6" s="4" t="inlineStr">
        <is>
          <t>GET /api/v1/common/companies/search/
GET|POST /api/v1/common/join-requests/
POST /api/v1/common/join-requests/{id}/cancel/
GET /api/v1/common/company-join-requests/
POST /api/v1/common/company-join-requests/{id}/decide/</t>
        </is>
      </c>
      <c r="I6" s="4" t="inlineStr">
        <is>
          <t>Có U2 (applicant), U7 (admin C1), C1 ACTIVE và Permission phù hợp theo từng test case.</t>
        </is>
      </c>
      <c r="J6" s="4" t="inlineStr">
        <is>
          <t>applicant=U2; admin=U7; company=C1; message=Xin tham gia doanh nghiệp</t>
        </is>
      </c>
      <c r="K6" s="4" t="inlineStr">
        <is>
          <t>1. Chuẩn bị dữ liệu đúng mục 'Điều kiện trước' và ghi lại các ID ban đầu.
2. Đăng nhập bằng đúng actor/role và chọn company/branch theo điều kiện trước.
3. Thực hiện kịch bản: Gửi yêu cầu hợp lệ tới C1.
4. Ghi lại HTTP status, response body và thông báo/điều hướng trên UI (nếu có).
5. Kiểm tra request, membership, quyết định, thông báo và quyền của cả applicant/admin.
6. So sánh toàn bộ kết quả với cột 'Kết quả mong đợi' và đính kèm evidence nếu Fail/Blocked.</t>
        </is>
      </c>
      <c r="L6" s="4" t="inlineStr">
        <is>
          <t>201; status PENDING, requester là user hiện tại, ngày hết hạn đúng; thông báo cho requester/admin</t>
        </is>
      </c>
      <c r="M6" s="4" t="inlineStr">
        <is>
          <t>Không có pending request/membership/notification trùng; decided_by/at chính xác.</t>
        </is>
      </c>
      <c r="N6" s="4" t="inlineStr"/>
      <c r="O6" s="16" t="inlineStr">
        <is>
          <t>Not Run</t>
        </is>
      </c>
      <c r="P6" s="4" t="inlineStr"/>
      <c r="Q6" s="4" t="inlineStr"/>
      <c r="R6" s="4" t="inlineStr"/>
      <c r="S6" s="4" t="inlineStr"/>
      <c r="T6" s="4" t="inlineStr"/>
      <c r="U6" s="4" t="inlineStr">
        <is>
          <t>Candidate</t>
        </is>
      </c>
      <c r="V6" s="4" t="inlineStr"/>
    </row>
    <row r="7" ht="132" customHeight="1">
      <c r="A7" s="5" t="n">
        <v>4</v>
      </c>
      <c r="B7" s="17" t="inlineStr">
        <is>
          <t>COM02-04</t>
        </is>
      </c>
      <c r="C7" s="5" t="inlineStr">
        <is>
          <t>UC-COM-02</t>
        </is>
      </c>
      <c r="D7" s="5" t="inlineStr">
        <is>
          <t>Gửi yêu cầu PENDING trùng C1</t>
        </is>
      </c>
      <c r="E7" s="15" t="inlineStr">
        <is>
          <t>P0</t>
        </is>
      </c>
      <c r="F7" s="5" t="inlineStr">
        <is>
          <t>Functional</t>
        </is>
      </c>
      <c r="G7" s="5" t="inlineStr">
        <is>
          <t>API + UI/E2E</t>
        </is>
      </c>
      <c r="H7" s="5" t="inlineStr">
        <is>
          <t>GET /api/v1/common/companies/search/
GET|POST /api/v1/common/join-requests/
POST /api/v1/common/join-requests/{id}/cancel/
GET /api/v1/common/company-join-requests/
POST /api/v1/common/company-join-requests/{id}/decide/</t>
        </is>
      </c>
      <c r="I7" s="5" t="inlineStr">
        <is>
          <t>Có U2 (applicant), U7 (admin C1), C1 ACTIVE và Permission phù hợp theo từng test case.</t>
        </is>
      </c>
      <c r="J7" s="5" t="inlineStr">
        <is>
          <t>applicant=U2; admin=U7; company=C1; message=Xin tham gia doanh nghiệp
Bổ sung: Chuẩn bị trước một bản ghi có cùng giá trị cần kiểm tra</t>
        </is>
      </c>
      <c r="K7" s="5" t="inlineStr">
        <is>
          <t>1. Chuẩn bị dữ liệu đúng mục 'Điều kiện trước' và ghi lại các ID ban đầu.
2. Đăng nhập bằng đúng actor/role và chọn company/branch theo điều kiện trước.
3. Thực hiện kịch bản: Gửi yêu cầu PENDING trùng C1.
4. Ghi lại HTTP status, response body và thông báo/điều hướng trên UI (nếu có).
5. Kiểm tra request, membership, quyết định, thông báo và quyền của cả applicant/admin.
6. So sánh toàn bộ kết quả với cột 'Kết quả mong đợi' và đính kèm evidence nếu Fail/Blocked.</t>
        </is>
      </c>
      <c r="L7" s="5" t="inlineStr">
        <is>
          <t>400; chỉ tồn tại một yêu cầu pending</t>
        </is>
      </c>
      <c r="M7" s="5" t="inlineStr">
        <is>
          <t>Không có pending request/membership/notification trùng; decided_by/at chính xác.</t>
        </is>
      </c>
      <c r="N7" s="5" t="inlineStr"/>
      <c r="O7" s="18" t="inlineStr">
        <is>
          <t>Not Run</t>
        </is>
      </c>
      <c r="P7" s="5" t="inlineStr"/>
      <c r="Q7" s="5" t="inlineStr"/>
      <c r="R7" s="5" t="inlineStr"/>
      <c r="S7" s="5" t="inlineStr"/>
      <c r="T7" s="5" t="inlineStr"/>
      <c r="U7" s="5" t="inlineStr">
        <is>
          <t>Candidate</t>
        </is>
      </c>
      <c r="V7" s="5" t="inlineStr"/>
    </row>
    <row r="8" ht="132" customHeight="1">
      <c r="A8" s="4" t="n">
        <v>5</v>
      </c>
      <c r="B8" s="14" t="inlineStr">
        <is>
          <t>COM02-05</t>
        </is>
      </c>
      <c r="C8" s="4" t="inlineStr">
        <is>
          <t>UC-COM-02</t>
        </is>
      </c>
      <c r="D8" s="4" t="inlineStr">
        <is>
          <t>Gửi yêu cầu bằng invitation code hợp lệ</t>
        </is>
      </c>
      <c r="E8" s="19" t="inlineStr">
        <is>
          <t>P1</t>
        </is>
      </c>
      <c r="F8" s="4" t="inlineStr">
        <is>
          <t>Functional</t>
        </is>
      </c>
      <c r="G8" s="4" t="inlineStr">
        <is>
          <t>API + UI/E2E</t>
        </is>
      </c>
      <c r="H8" s="4" t="inlineStr">
        <is>
          <t>GET /api/v1/common/companies/search/
GET|POST /api/v1/common/join-requests/
POST /api/v1/common/join-requests/{id}/cancel/
GET /api/v1/common/company-join-requests/
POST /api/v1/common/company-join-requests/{id}/decide/</t>
        </is>
      </c>
      <c r="I8" s="4" t="inlineStr">
        <is>
          <t>Có U2 (applicant), U7 (admin C1), C1 ACTIVE và Permission phù hợp theo từng test case.</t>
        </is>
      </c>
      <c r="J8" s="4" t="inlineStr">
        <is>
          <t>applicant=U2; admin=U7; company=C1; message=Xin tham gia doanh nghiệp</t>
        </is>
      </c>
      <c r="K8" s="4" t="inlineStr">
        <is>
          <t>1. Chuẩn bị dữ liệu đúng mục 'Điều kiện trước' và ghi lại các ID ban đầu.
2. Đăng nhập bằng đúng actor/role và chọn company/branch theo điều kiện trước.
3. Thực hiện kịch bản: Gửi yêu cầu bằng invitation code hợp lệ.
4. Ghi lại HTTP status, response body và thông báo/điều hướng trên UI (nếu có).
5. Kiểm tra request, membership, quyết định, thông báo và quyền của cả applicant/admin.
6. So sánh toàn bộ kết quả với cột 'Kết quả mong đợi' và đính kèm evidence nếu Fail/Blocked.</t>
        </is>
      </c>
      <c r="L8" s="4" t="inlineStr">
        <is>
          <t>Chọn đúng doanh nghiệp; tăng use count; auto-approve nếu invitation cấu hình như vậy</t>
        </is>
      </c>
      <c r="M8" s="4" t="inlineStr">
        <is>
          <t>Không có pending request/membership/notification trùng; decided_by/at chính xác.</t>
        </is>
      </c>
      <c r="N8" s="4" t="inlineStr"/>
      <c r="O8" s="16" t="inlineStr">
        <is>
          <t>Not Run</t>
        </is>
      </c>
      <c r="P8" s="4" t="inlineStr"/>
      <c r="Q8" s="4" t="inlineStr"/>
      <c r="R8" s="4" t="inlineStr"/>
      <c r="S8" s="4" t="inlineStr"/>
      <c r="T8" s="4" t="inlineStr"/>
      <c r="U8" s="4" t="inlineStr">
        <is>
          <t>Candidate</t>
        </is>
      </c>
      <c r="V8" s="4" t="inlineStr"/>
    </row>
    <row r="9" ht="132" customHeight="1">
      <c r="A9" s="5" t="n">
        <v>6</v>
      </c>
      <c r="B9" s="17" t="inlineStr">
        <is>
          <t>COM02-06</t>
        </is>
      </c>
      <c r="C9" s="5" t="inlineStr">
        <is>
          <t>UC-COM-02</t>
        </is>
      </c>
      <c r="D9" s="5" t="inlineStr">
        <is>
          <t>Invitation hết hạn/bị thu hồi/sai/vượt max use</t>
        </is>
      </c>
      <c r="E9" s="15" t="inlineStr">
        <is>
          <t>P0</t>
        </is>
      </c>
      <c r="F9" s="5" t="inlineStr">
        <is>
          <t>Functional</t>
        </is>
      </c>
      <c r="G9" s="5" t="inlineStr">
        <is>
          <t>API + UI/E2E</t>
        </is>
      </c>
      <c r="H9" s="5" t="inlineStr">
        <is>
          <t>GET /api/v1/common/companies/search/
GET|POST /api/v1/common/join-requests/
POST /api/v1/common/join-requests/{id}/cancel/
GET /api/v1/common/company-join-requests/
POST /api/v1/common/company-join-requests/{id}/decide/</t>
        </is>
      </c>
      <c r="I9" s="5" t="inlineStr">
        <is>
          <t>Có U2 (applicant), U7 (admin C1), C1 ACTIVE và Permission phù hợp theo từng test case.</t>
        </is>
      </c>
      <c r="J9" s="5" t="inlineStr">
        <is>
          <t>applicant=U2; admin=U7; company=C1; message=Xin tham gia doanh nghiệp
Bổ sung: Điều chỉnh expires_at về quá khứ bằng fixture/admin test; AI stub hỗ trợ success, timeout, HTTP 500, invalid JSON và oversized response</t>
        </is>
      </c>
      <c r="K9" s="5" t="inlineStr">
        <is>
          <t>1. Chuẩn bị dữ liệu đúng mục 'Điều kiện trước' và ghi lại các ID ban đầu.
2. Đăng nhập bằng đúng actor/role và chọn company/branch theo điều kiện trước.
3. Thực hiện kịch bản: Invitation hết hạn/bị thu hồi/sai/vượt max use.
4. Ghi lại HTTP status, response body và thông báo/điều hướng trên UI (nếu có).
5. Kiểm tra request, membership, quyết định, thông báo và quyền của cả applicant/admin.
6. So sánh toàn bộ kết quả với cột 'Kết quả mong đợi' và đính kèm evidence nếu Fail/Blocked.</t>
        </is>
      </c>
      <c r="L9" s="5" t="inlineStr">
        <is>
          <t>400; không tạo membership hoặc tăng use count sai</t>
        </is>
      </c>
      <c r="M9" s="5" t="inlineStr">
        <is>
          <t>Không có pending request/membership/notification trùng; decided_by/at chính xác.</t>
        </is>
      </c>
      <c r="N9" s="5" t="inlineStr"/>
      <c r="O9" s="18" t="inlineStr">
        <is>
          <t>Not Run</t>
        </is>
      </c>
      <c r="P9" s="5" t="inlineStr"/>
      <c r="Q9" s="5" t="inlineStr"/>
      <c r="R9" s="5" t="inlineStr"/>
      <c r="S9" s="5" t="inlineStr"/>
      <c r="T9" s="5" t="inlineStr"/>
      <c r="U9" s="5" t="inlineStr">
        <is>
          <t>Candidate</t>
        </is>
      </c>
      <c r="V9" s="5" t="inlineStr"/>
    </row>
    <row r="10" ht="132" customHeight="1">
      <c r="A10" s="4" t="n">
        <v>7</v>
      </c>
      <c r="B10" s="14" t="inlineStr">
        <is>
          <t>COM02-07</t>
        </is>
      </c>
      <c r="C10" s="4" t="inlineStr">
        <is>
          <t>UC-COM-02</t>
        </is>
      </c>
      <c r="D10" s="4" t="inlineStr">
        <is>
          <t>User đã là thành viên ACTIVE của C1 vẫn gửi yêu cầu</t>
        </is>
      </c>
      <c r="E10" s="15" t="inlineStr">
        <is>
          <t>P0</t>
        </is>
      </c>
      <c r="F10" s="4" t="inlineStr">
        <is>
          <t>Functional</t>
        </is>
      </c>
      <c r="G10" s="4" t="inlineStr">
        <is>
          <t>API + UI/E2E</t>
        </is>
      </c>
      <c r="H10" s="4" t="inlineStr">
        <is>
          <t>GET /api/v1/common/companies/search/
GET|POST /api/v1/common/join-requests/
POST /api/v1/common/join-requests/{id}/cancel/
GET /api/v1/common/company-join-requests/
POST /api/v1/common/company-join-requests/{id}/decide/</t>
        </is>
      </c>
      <c r="I10" s="4" t="inlineStr">
        <is>
          <t>Có U2 (applicant), U7 (admin C1), C1 ACTIVE và Permission phù hợp theo từng test case.</t>
        </is>
      </c>
      <c r="J10" s="4" t="inlineStr">
        <is>
          <t>applicant=U2; admin=U7; company=C1; message=Xin tham gia doanh nghiệp</t>
        </is>
      </c>
      <c r="K10" s="4" t="inlineStr">
        <is>
          <t>1. Chuẩn bị dữ liệu đúng mục 'Điều kiện trước' và ghi lại các ID ban đầu.
2. Đăng nhập bằng đúng actor/role và chọn company/branch theo điều kiện trước.
3. Thực hiện kịch bản: User đã là thành viên ACTIVE của C1 vẫn gửi yêu cầu.
4. Ghi lại HTTP status, response body và thông báo/điều hướng trên UI (nếu có).
5. Kiểm tra request, membership, quyết định, thông báo và quyền của cả applicant/admin.
6. So sánh toàn bộ kết quả với cột 'Kết quả mong đợi' và đính kèm evidence nếu Fail/Blocked.</t>
        </is>
      </c>
      <c r="L10" s="4" t="inlineStr">
        <is>
          <t>Bị từ chối; không tạo yêu cầu trùng</t>
        </is>
      </c>
      <c r="M10" s="4" t="inlineStr">
        <is>
          <t>Không có pending request/membership/notification trùng; decided_by/at chính xác.</t>
        </is>
      </c>
      <c r="N10" s="4" t="inlineStr"/>
      <c r="O10" s="16" t="inlineStr">
        <is>
          <t>Not Run</t>
        </is>
      </c>
      <c r="P10" s="4" t="inlineStr"/>
      <c r="Q10" s="4" t="inlineStr"/>
      <c r="R10" s="4" t="inlineStr"/>
      <c r="S10" s="4" t="inlineStr"/>
      <c r="T10" s="4" t="inlineStr"/>
      <c r="U10" s="4" t="inlineStr">
        <is>
          <t>Candidate</t>
        </is>
      </c>
      <c r="V10" s="4" t="inlineStr"/>
    </row>
    <row r="11" ht="132" customHeight="1">
      <c r="A11" s="5" t="n">
        <v>8</v>
      </c>
      <c r="B11" s="17" t="inlineStr">
        <is>
          <t>COM02-08</t>
        </is>
      </c>
      <c r="C11" s="5" t="inlineStr">
        <is>
          <t>UC-COM-02</t>
        </is>
      </c>
      <c r="D11" s="5" t="inlineStr">
        <is>
          <t>Requester hủy yêu cầu PENDING của chính mình</t>
        </is>
      </c>
      <c r="E11" s="19" t="inlineStr">
        <is>
          <t>P1</t>
        </is>
      </c>
      <c r="F11" s="5" t="inlineStr">
        <is>
          <t>Functional</t>
        </is>
      </c>
      <c r="G11" s="5" t="inlineStr">
        <is>
          <t>API + UI/E2E</t>
        </is>
      </c>
      <c r="H11" s="5" t="inlineStr">
        <is>
          <t>GET /api/v1/common/companies/search/
GET|POST /api/v1/common/join-requests/
POST /api/v1/common/join-requests/{id}/cancel/
GET /api/v1/common/company-join-requests/
POST /api/v1/common/company-join-requests/{id}/decide/</t>
        </is>
      </c>
      <c r="I11" s="5" t="inlineStr">
        <is>
          <t>Có U2 (applicant), U7 (admin C1), C1 ACTIVE và Permission phù hợp theo từng test case.</t>
        </is>
      </c>
      <c r="J11" s="5" t="inlineStr">
        <is>
          <t>applicant=U2; admin=U7; company=C1; message=Xin tham gia doanh nghiệp</t>
        </is>
      </c>
      <c r="K11" s="5" t="inlineStr">
        <is>
          <t>1. Chuẩn bị dữ liệu đúng mục 'Điều kiện trước' và ghi lại các ID ban đầu.
2. Đăng nhập bằng đúng actor/role và chọn company/branch theo điều kiện trước.
3. Thực hiện kịch bản: Requester hủy yêu cầu PENDING của chính mình.
4. Ghi lại HTTP status, response body và thông báo/điều hướng trên UI (nếu có).
5. Kiểm tra request, membership, quyết định, thông báo và quyền của cả applicant/admin.
6. So sánh toàn bộ kết quả với cột 'Kết quả mong đợi' và đính kèm evidence nếu Fail/Blocked.</t>
        </is>
      </c>
      <c r="L11" s="5" t="inlineStr">
        <is>
          <t>Status CANCELLED, ghi thời điểm/lịch sử phù hợp; admin không thể duyệt sau đó</t>
        </is>
      </c>
      <c r="M11" s="5" t="inlineStr">
        <is>
          <t>Không có pending request/membership/notification trùng; decided_by/at chính xác.</t>
        </is>
      </c>
      <c r="N11" s="5" t="inlineStr"/>
      <c r="O11" s="18" t="inlineStr">
        <is>
          <t>Not Run</t>
        </is>
      </c>
      <c r="P11" s="5" t="inlineStr"/>
      <c r="Q11" s="5" t="inlineStr"/>
      <c r="R11" s="5" t="inlineStr"/>
      <c r="S11" s="5" t="inlineStr"/>
      <c r="T11" s="5" t="inlineStr"/>
      <c r="U11" s="5" t="inlineStr">
        <is>
          <t>Candidate</t>
        </is>
      </c>
      <c r="V11" s="5" t="inlineStr"/>
    </row>
    <row r="12" ht="132" customHeight="1">
      <c r="A12" s="4" t="n">
        <v>9</v>
      </c>
      <c r="B12" s="14" t="inlineStr">
        <is>
          <t>COM02-09</t>
        </is>
      </c>
      <c r="C12" s="4" t="inlineStr">
        <is>
          <t>UC-COM-02</t>
        </is>
      </c>
      <c r="D12" s="4" t="inlineStr">
        <is>
          <t>User khác hủy hoặc xem chi tiết yêu cầu không thuộc mình</t>
        </is>
      </c>
      <c r="E12" s="15" t="inlineStr">
        <is>
          <t>P0</t>
        </is>
      </c>
      <c r="F12" s="4" t="inlineStr">
        <is>
          <t>Security/Authorization</t>
        </is>
      </c>
      <c r="G12" s="4" t="inlineStr">
        <is>
          <t>API + Integration</t>
        </is>
      </c>
      <c r="H12" s="4" t="inlineStr">
        <is>
          <t>GET /api/v1/common/companies/search/
GET|POST /api/v1/common/join-requests/
POST /api/v1/common/join-requests/{id}/cancel/
GET /api/v1/common/company-join-requests/
POST /api/v1/common/company-join-requests/{id}/decide/</t>
        </is>
      </c>
      <c r="I12" s="4" t="inlineStr">
        <is>
          <t>Có U2 (applicant), U7 (admin C1), C1 ACTIVE và Permission phù hợp theo từng test case.</t>
        </is>
      </c>
      <c r="J12" s="4" t="inlineStr">
        <is>
          <t>applicant=U2; admin=U7; company=C1; message=Xin tham gia doanh nghiệp</t>
        </is>
      </c>
      <c r="K12" s="4" t="inlineStr">
        <is>
          <t>1. Chuẩn bị dữ liệu đúng mục 'Điều kiện trước' và ghi lại các ID ban đầu.
2. Đăng nhập bằng đúng actor/role và chọn company/branch theo điều kiện trước.
3. Thực hiện kịch bản: User khác hủy hoặc xem chi tiết yêu cầu không thuộc mình.
4. Ghi lại HTTP status, response body và thông báo/điều hướng trên UI (nếu có).
5. Kiểm tra request, membership, quyết định, thông báo và quyền của cả applicant/admin.
6. So sánh toàn bộ kết quả với cột 'Kết quả mong đợi' và đính kèm evidence nếu Fail/Blocked.</t>
        </is>
      </c>
      <c r="L12" s="4" t="inlineStr">
        <is>
          <t>404/403; không lộ nội dung yêu cầu</t>
        </is>
      </c>
      <c r="M12" s="4" t="inlineStr">
        <is>
          <t>Không có pending request/membership/notification trùng; decided_by/at chính xác.</t>
        </is>
      </c>
      <c r="N12" s="4" t="inlineStr"/>
      <c r="O12" s="16" t="inlineStr">
        <is>
          <t>Not Run</t>
        </is>
      </c>
      <c r="P12" s="4" t="inlineStr"/>
      <c r="Q12" s="4" t="inlineStr"/>
      <c r="R12" s="4" t="inlineStr"/>
      <c r="S12" s="4" t="inlineStr"/>
      <c r="T12" s="4" t="inlineStr"/>
      <c r="U12" s="4" t="inlineStr">
        <is>
          <t>Candidate</t>
        </is>
      </c>
      <c r="V12" s="4" t="inlineStr"/>
    </row>
    <row r="13" ht="132" customHeight="1">
      <c r="A13" s="5" t="n">
        <v>10</v>
      </c>
      <c r="B13" s="17" t="inlineStr">
        <is>
          <t>COM02-10</t>
        </is>
      </c>
      <c r="C13" s="5" t="inlineStr">
        <is>
          <t>UC-COM-02</t>
        </is>
      </c>
      <c r="D13" s="5" t="inlineStr">
        <is>
          <t>Admin đủ quyền duyệt APPROVED</t>
        </is>
      </c>
      <c r="E13" s="15" t="inlineStr">
        <is>
          <t>P0</t>
        </is>
      </c>
      <c r="F13" s="5" t="inlineStr">
        <is>
          <t>Functional</t>
        </is>
      </c>
      <c r="G13" s="5" t="inlineStr">
        <is>
          <t>API + UI/E2E</t>
        </is>
      </c>
      <c r="H13" s="5" t="inlineStr">
        <is>
          <t>GET /api/v1/common/companies/search/
GET|POST /api/v1/common/join-requests/
POST /api/v1/common/join-requests/{id}/cancel/
GET /api/v1/common/company-join-requests/
POST /api/v1/common/company-join-requests/{id}/decide/</t>
        </is>
      </c>
      <c r="I13" s="5" t="inlineStr">
        <is>
          <t>Có U2 (applicant), U7 (admin C1), C1 ACTIVE và Permission phù hợp theo từng test case.</t>
        </is>
      </c>
      <c r="J13" s="5" t="inlineStr">
        <is>
          <t>applicant=U2; admin=U7; company=C1; message=Xin tham gia doanh nghiệp</t>
        </is>
      </c>
      <c r="K13" s="5" t="inlineStr">
        <is>
          <t>1. Chuẩn bị dữ liệu đúng mục 'Điều kiện trước' và ghi lại các ID ban đầu.
2. Đăng nhập bằng đúng actor/role và chọn company/branch theo điều kiện trước.
3. Thực hiện kịch bản: Admin đủ quyền duyệt APPROVED.
4. Ghi lại HTTP status, response body và thông báo/điều hướng trên UI (nếu có).
5. Kiểm tra request, membership, quyết định, thông báo và quyền của cả applicant/admin.
6. So sánh toàn bộ kết quả với cột 'Kết quả mong đợi' và đính kèm evidence nếu Fail/Blocked.</t>
        </is>
      </c>
      <c r="L13" s="5" t="inlineStr">
        <is>
          <t>Tạo/khôi phục membership ACTIVE đúng user/C1; ghi decided_by/at/reason; gửi thông báo; idempotency được kiểm soát</t>
        </is>
      </c>
      <c r="M13" s="5" t="inlineStr">
        <is>
          <t>Không có pending request/membership/notification trùng; decided_by/at chính xác.</t>
        </is>
      </c>
      <c r="N13" s="5" t="inlineStr"/>
      <c r="O13" s="18" t="inlineStr">
        <is>
          <t>Not Run</t>
        </is>
      </c>
      <c r="P13" s="5" t="inlineStr"/>
      <c r="Q13" s="5" t="inlineStr"/>
      <c r="R13" s="5" t="inlineStr"/>
      <c r="S13" s="5" t="inlineStr"/>
      <c r="T13" s="5" t="inlineStr"/>
      <c r="U13" s="5" t="inlineStr">
        <is>
          <t>Candidate</t>
        </is>
      </c>
      <c r="V13" s="5" t="inlineStr"/>
    </row>
    <row r="14" ht="132" customHeight="1">
      <c r="A14" s="4" t="n">
        <v>11</v>
      </c>
      <c r="B14" s="14" t="inlineStr">
        <is>
          <t>COM02-11</t>
        </is>
      </c>
      <c r="C14" s="4" t="inlineStr">
        <is>
          <t>UC-COM-02</t>
        </is>
      </c>
      <c r="D14" s="4" t="inlineStr">
        <is>
          <t>Admin từ chối REJECTED</t>
        </is>
      </c>
      <c r="E14" s="19" t="inlineStr">
        <is>
          <t>P1</t>
        </is>
      </c>
      <c r="F14" s="4" t="inlineStr">
        <is>
          <t>Functional</t>
        </is>
      </c>
      <c r="G14" s="4" t="inlineStr">
        <is>
          <t>API + UI/E2E</t>
        </is>
      </c>
      <c r="H14" s="4" t="inlineStr">
        <is>
          <t>GET /api/v1/common/companies/search/
GET|POST /api/v1/common/join-requests/
POST /api/v1/common/join-requests/{id}/cancel/
GET /api/v1/common/company-join-requests/
POST /api/v1/common/company-join-requests/{id}/decide/</t>
        </is>
      </c>
      <c r="I14" s="4" t="inlineStr">
        <is>
          <t>Có U2 (applicant), U7 (admin C1), C1 ACTIVE và Permission phù hợp theo từng test case.</t>
        </is>
      </c>
      <c r="J14" s="4" t="inlineStr">
        <is>
          <t>applicant=U2; admin=U7; company=C1; message=Xin tham gia doanh nghiệp</t>
        </is>
      </c>
      <c r="K14" s="4" t="inlineStr">
        <is>
          <t>1. Chuẩn bị dữ liệu đúng mục 'Điều kiện trước' và ghi lại các ID ban đầu.
2. Đăng nhập bằng đúng actor/role và chọn company/branch theo điều kiện trước.
3. Thực hiện kịch bản: Admin từ chối REJECTED.
4. Ghi lại HTTP status, response body và thông báo/điều hướng trên UI (nếu có).
5. Kiểm tra request, membership, quyết định, thông báo và quyền của cả applicant/admin.
6. So sánh toàn bộ kết quả với cột 'Kết quả mong đợi' và đính kèm evidence nếu Fail/Blocked.</t>
        </is>
      </c>
      <c r="L14" s="4" t="inlineStr">
        <is>
          <t>Không tạo membership; lưu reason và gửi thông báo requester</t>
        </is>
      </c>
      <c r="M14" s="4" t="inlineStr">
        <is>
          <t>Không có pending request/membership/notification trùng; decided_by/at chính xác.</t>
        </is>
      </c>
      <c r="N14" s="4" t="inlineStr"/>
      <c r="O14" s="16" t="inlineStr">
        <is>
          <t>Not Run</t>
        </is>
      </c>
      <c r="P14" s="4" t="inlineStr"/>
      <c r="Q14" s="4" t="inlineStr"/>
      <c r="R14" s="4" t="inlineStr"/>
      <c r="S14" s="4" t="inlineStr"/>
      <c r="T14" s="4" t="inlineStr"/>
      <c r="U14" s="4" t="inlineStr">
        <is>
          <t>Candidate</t>
        </is>
      </c>
      <c r="V14" s="4" t="inlineStr"/>
    </row>
    <row r="15" ht="132" customHeight="1">
      <c r="A15" s="5" t="n">
        <v>12</v>
      </c>
      <c r="B15" s="17" t="inlineStr">
        <is>
          <t>COM02-12</t>
        </is>
      </c>
      <c r="C15" s="5" t="inlineStr">
        <is>
          <t>UC-COM-02</t>
        </is>
      </c>
      <c r="D15" s="5" t="inlineStr">
        <is>
          <t>Người không có VIEW/APPROVE hoặc admin C2 xử lý yêu cầu C1</t>
        </is>
      </c>
      <c r="E15" s="15" t="inlineStr">
        <is>
          <t>P0</t>
        </is>
      </c>
      <c r="F15" s="5" t="inlineStr">
        <is>
          <t>Security/Authorization</t>
        </is>
      </c>
      <c r="G15" s="5" t="inlineStr">
        <is>
          <t>API + Integration</t>
        </is>
      </c>
      <c r="H15" s="5" t="inlineStr">
        <is>
          <t>GET /api/v1/common/companies/search/
GET|POST /api/v1/common/join-requests/
POST /api/v1/common/join-requests/{id}/cancel/
GET /api/v1/common/company-join-requests/
POST /api/v1/common/company-join-requests/{id}/decide/</t>
        </is>
      </c>
      <c r="I15" s="5" t="inlineStr">
        <is>
          <t>Có U2 (applicant), U7 (admin C1), C1 ACTIVE và Permission phù hợp theo từng test case.</t>
        </is>
      </c>
      <c r="J15" s="5" t="inlineStr">
        <is>
          <t>applicant=U2; admin=U7; company=C1; message=Xin tham gia doanh nghiệp
Bổ sung: Dùng UUID hợp lệ nhưng thuộc C2 hoặc branch ngoài Data Scope</t>
        </is>
      </c>
      <c r="K15" s="5" t="inlineStr">
        <is>
          <t>1. Chuẩn bị dữ liệu đúng mục 'Điều kiện trước' và ghi lại các ID ban đầu.
2. Đăng nhập bằng đúng actor/role và chọn company/branch theo điều kiện trước.
3. Thực hiện kịch bản: Người không có VIEW/APPROVE hoặc admin C2 xử lý yêu cầu C1.
4. Ghi lại HTTP status, response body và thông báo/điều hướng trên UI (nếu có).
5. Kiểm tra request, membership, quyết định, thông báo và quyền của cả applicant/admin.
6. So sánh toàn bộ kết quả với cột 'Kết quả mong đợi' và đính kèm evidence nếu Fail/Blocked.</t>
        </is>
      </c>
      <c r="L15" s="5" t="inlineStr">
        <is>
          <t>403/404; không thay đổi yêu cầu</t>
        </is>
      </c>
      <c r="M15" s="5" t="inlineStr">
        <is>
          <t>Không có pending request/membership/notification trùng; decided_by/at chính xác.</t>
        </is>
      </c>
      <c r="N15" s="5" t="inlineStr"/>
      <c r="O15" s="18" t="inlineStr">
        <is>
          <t>Not Run</t>
        </is>
      </c>
      <c r="P15" s="5" t="inlineStr"/>
      <c r="Q15" s="5" t="inlineStr"/>
      <c r="R15" s="5" t="inlineStr"/>
      <c r="S15" s="5" t="inlineStr"/>
      <c r="T15" s="5" t="inlineStr"/>
      <c r="U15" s="5" t="inlineStr">
        <is>
          <t>Candidate</t>
        </is>
      </c>
      <c r="V15" s="5" t="inlineStr"/>
    </row>
    <row r="16" ht="132" customHeight="1">
      <c r="A16" s="4" t="n">
        <v>13</v>
      </c>
      <c r="B16" s="14" t="inlineStr">
        <is>
          <t>COM02-13</t>
        </is>
      </c>
      <c r="C16" s="4" t="inlineStr">
        <is>
          <t>UC-COM-02</t>
        </is>
      </c>
      <c r="D16" s="4" t="inlineStr">
        <is>
          <t>Yêu cầu hết hạn được truy vấn/xử lý</t>
        </is>
      </c>
      <c r="E16" s="19" t="inlineStr">
        <is>
          <t>P1</t>
        </is>
      </c>
      <c r="F16" s="4" t="inlineStr">
        <is>
          <t>Functional</t>
        </is>
      </c>
      <c r="G16" s="4" t="inlineStr">
        <is>
          <t>API + UI/E2E</t>
        </is>
      </c>
      <c r="H16" s="4" t="inlineStr">
        <is>
          <t>GET /api/v1/common/companies/search/
GET|POST /api/v1/common/join-requests/
POST /api/v1/common/join-requests/{id}/cancel/
GET /api/v1/common/company-join-requests/
POST /api/v1/common/company-join-requests/{id}/decide/</t>
        </is>
      </c>
      <c r="I16" s="4" t="inlineStr">
        <is>
          <t>Có U2 (applicant), U7 (admin C1), C1 ACTIVE và Permission phù hợp theo từng test case.</t>
        </is>
      </c>
      <c r="J16" s="4" t="inlineStr">
        <is>
          <t>applicant=U2; admin=U7; company=C1; message=Xin tham gia doanh nghiệp
Bổ sung: Điều chỉnh expires_at về quá khứ bằng fixture/admin test</t>
        </is>
      </c>
      <c r="K16" s="4" t="inlineStr">
        <is>
          <t>1. Chuẩn bị dữ liệu đúng mục 'Điều kiện trước' và ghi lại các ID ban đầu.
2. Đăng nhập bằng đúng actor/role và chọn company/branch theo điều kiện trước.
3. Thực hiện kịch bản: Yêu cầu hết hạn được truy vấn/xử lý.
4. Ghi lại HTTP status, response body và thông báo/điều hướng trên UI (nếu có).
5. Kiểm tra request, membership, quyết định, thông báo và quyền của cả applicant/admin.
6. So sánh toàn bộ kết quả với cột 'Kết quả mong đợi' và đính kèm evidence nếu Fail/Blocked.</t>
        </is>
      </c>
      <c r="L16" s="4" t="inlineStr">
        <is>
          <t>Chuyển EXPIRED; không cho cancel/approve/reject</t>
        </is>
      </c>
      <c r="M16" s="4" t="inlineStr">
        <is>
          <t>Không có pending request/membership/notification trùng; decided_by/at chính xác.</t>
        </is>
      </c>
      <c r="N16" s="4" t="inlineStr"/>
      <c r="O16" s="16" t="inlineStr">
        <is>
          <t>Not Run</t>
        </is>
      </c>
      <c r="P16" s="4" t="inlineStr"/>
      <c r="Q16" s="4" t="inlineStr"/>
      <c r="R16" s="4" t="inlineStr"/>
      <c r="S16" s="4" t="inlineStr"/>
      <c r="T16" s="4" t="inlineStr"/>
      <c r="U16" s="4" t="inlineStr">
        <is>
          <t>Candidate</t>
        </is>
      </c>
      <c r="V16" s="4" t="inlineStr"/>
    </row>
    <row r="17" ht="132" customHeight="1">
      <c r="A17" s="5" t="n">
        <v>14</v>
      </c>
      <c r="B17" s="17" t="inlineStr">
        <is>
          <t>COM02-14</t>
        </is>
      </c>
      <c r="C17" s="5" t="inlineStr">
        <is>
          <t>UC-COM-02</t>
        </is>
      </c>
      <c r="D17" s="5" t="inlineStr">
        <is>
          <t>Hai admin duyệt đồng thời cùng yêu cầu</t>
        </is>
      </c>
      <c r="E17" s="19" t="inlineStr">
        <is>
          <t>P1</t>
        </is>
      </c>
      <c r="F17" s="5" t="inlineStr">
        <is>
          <t>Concurrency/Idempotency</t>
        </is>
      </c>
      <c r="G17" s="5" t="inlineStr">
        <is>
          <t>Integration</t>
        </is>
      </c>
      <c r="H17" s="5" t="inlineStr">
        <is>
          <t>GET /api/v1/common/companies/search/
GET|POST /api/v1/common/join-requests/
POST /api/v1/common/join-requests/{id}/cancel/
GET /api/v1/common/company-join-requests/
POST /api/v1/common/company-join-requests/{id}/decide/</t>
        </is>
      </c>
      <c r="I17" s="5" t="inlineStr">
        <is>
          <t>Có U2 (applicant), U7 (admin C1), C1 ACTIVE và Permission phù hợp theo từng test case.</t>
        </is>
      </c>
      <c r="J17" s="5" t="inlineStr">
        <is>
          <t>applicant=U2; admin=U7; company=C1; message=Xin tham gia doanh nghiệp
Bổ sung: Dùng hai client/worker gửi request cùng thời điểm; AI stub hỗ trợ success, timeout, HTTP 500, invalid JSON và oversized response</t>
        </is>
      </c>
      <c r="K17" s="5" t="inlineStr">
        <is>
          <t>1. Chuẩn bị dữ liệu đúng mục 'Điều kiện trước' và ghi lại các ID ban đầu.
2. Đăng nhập bằng đúng actor/role và chọn company/branch theo điều kiện trước.
3. Thực hiện kịch bản: Hai admin duyệt đồng thời cùng yêu cầu.
4. Ghi lại HTTP status, response body và thông báo/điều hướng trên UI (nếu có).
5. Kiểm tra request, membership, quyết định, thông báo và quyền của cả applicant/admin.
6. So sánh toàn bộ kết quả với cột 'Kết quả mong đợi' và đính kèm evidence nếu Fail/Blocked.</t>
        </is>
      </c>
      <c r="L17" s="5" t="inlineStr">
        <is>
          <t>Chỉ một quyết định hiệu lực; không tạo membership trùng hoặc thông báo trùng</t>
        </is>
      </c>
      <c r="M17" s="5" t="inlineStr">
        <is>
          <t>Không có pending request/membership/notification trùng; decided_by/at chính xác.</t>
        </is>
      </c>
      <c r="N17" s="5" t="inlineStr"/>
      <c r="O17" s="18" t="inlineStr">
        <is>
          <t>Not Run</t>
        </is>
      </c>
      <c r="P17" s="5" t="inlineStr"/>
      <c r="Q17" s="5" t="inlineStr"/>
      <c r="R17" s="5" t="inlineStr"/>
      <c r="S17" s="5" t="inlineStr"/>
      <c r="T17" s="5" t="inlineStr"/>
      <c r="U17" s="5" t="inlineStr">
        <is>
          <t>Candidate</t>
        </is>
      </c>
      <c r="V17" s="5" t="inlineStr"/>
    </row>
  </sheetData>
  <autoFilter ref="A3:V17"/>
  <mergeCells count="2">
    <mergeCell ref="A2:V2"/>
    <mergeCell ref="A1:V1"/>
  </mergeCells>
  <conditionalFormatting sqref="O4:O17">
    <cfRule type="expression" priority="1" dxfId="0">
      <formula>$O4="Pass"</formula>
    </cfRule>
    <cfRule type="expression" priority="2" dxfId="1">
      <formula>$O4="Fail"</formula>
    </cfRule>
    <cfRule type="expression" priority="3" dxfId="2">
      <formula>$O4="Blocked"</formula>
    </cfRule>
    <cfRule type="expression" priority="4" dxfId="3">
      <formula>$O4="N/A"</formula>
    </cfRule>
  </conditionalFormatting>
  <dataValidations count="3">
    <dataValidation sqref="O4:O17" showDropDown="0" showInputMessage="0" showErrorMessage="0" allowBlank="1" type="list">
      <formula1>"Not Run,Pass,Fail,Blocked,N/A"</formula1>
    </dataValidation>
    <dataValidation sqref="P4:P17" showDropDown="0" showInputMessage="0" showErrorMessage="0" allowBlank="1" type="list">
      <formula1>"S1 Critical,S2 High,S3 Medium,S4 Low"</formula1>
    </dataValidation>
    <dataValidation sqref="U4:U17" showDropDown="0" showInputMessage="0" showErrorMessage="0" allowBlank="1" type="list">
      <formula1>"Manual,Automated,Candidate,Not Applicable"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16"/>
  <sheetViews>
    <sheetView showGridLines="0"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4" customWidth="1" min="2" max="2"/>
    <col width="14" customWidth="1" min="3" max="3"/>
    <col width="42" customWidth="1" min="4" max="4"/>
    <col width="10" customWidth="1" min="5" max="5"/>
    <col width="23" customWidth="1" min="6" max="6"/>
    <col width="18" customWidth="1" min="7" max="7"/>
    <col width="50" customWidth="1" min="8" max="8"/>
    <col width="48" customWidth="1" min="9" max="9"/>
    <col width="50" customWidth="1" min="10" max="10"/>
    <col width="70" customWidth="1" min="11" max="11"/>
    <col width="62" customWidth="1" min="12" max="12"/>
    <col width="46" customWidth="1" min="13" max="13"/>
    <col width="50" customWidth="1" min="14" max="14"/>
    <col width="13" customWidth="1" min="15" max="15"/>
    <col width="16" customWidth="1" min="16" max="16"/>
    <col width="16" customWidth="1" min="17" max="17"/>
    <col width="18" customWidth="1" min="18" max="18"/>
    <col width="14" customWidth="1" min="19" max="19"/>
    <col width="30" customWidth="1" min="20" max="20"/>
    <col width="16" customWidth="1" min="21" max="21"/>
    <col width="34" customWidth="1" min="22" max="22"/>
  </cols>
  <sheetData>
    <row r="1" ht="32" customHeight="1">
      <c r="A1" s="1" t="inlineStr">
        <is>
          <t>UC-COM-03 – Đăng nhập</t>
        </is>
      </c>
    </row>
    <row r="2" ht="30" customHeight="1">
      <c r="A2" s="2" t="inlineStr">
        <is>
          <t>Nguồn: COMMON_SERVICES_TEST_PLAN.md | 13 test case</t>
        </is>
      </c>
    </row>
    <row r="3" ht="38" customHeight="1">
      <c r="A3" s="3" t="inlineStr">
        <is>
          <t>STT</t>
        </is>
      </c>
      <c r="B3" s="3" t="inlineStr">
        <is>
          <t>Test Case ID</t>
        </is>
      </c>
      <c r="C3" s="3" t="inlineStr">
        <is>
          <t>UC ID</t>
        </is>
      </c>
      <c r="D3" s="3" t="inlineStr">
        <is>
          <t>Tên test case</t>
        </is>
      </c>
      <c r="E3" s="3" t="inlineStr">
        <is>
          <t>Priority</t>
        </is>
      </c>
      <c r="F3" s="3" t="inlineStr">
        <is>
          <t>Loại kiểm thử</t>
        </is>
      </c>
      <c r="G3" s="3" t="inlineStr">
        <is>
          <t>Lớp</t>
        </is>
      </c>
      <c r="H3" s="3" t="inlineStr">
        <is>
          <t>Endpoint/API</t>
        </is>
      </c>
      <c r="I3" s="3" t="inlineStr">
        <is>
          <t>Điều kiện trước</t>
        </is>
      </c>
      <c r="J3" s="3" t="inlineStr">
        <is>
          <t>Dữ liệu kiểm thử</t>
        </is>
      </c>
      <c r="K3" s="3" t="inlineStr">
        <is>
          <t>Các bước thực hiện</t>
        </is>
      </c>
      <c r="L3" s="3" t="inlineStr">
        <is>
          <t>Kết quả mong đợi</t>
        </is>
      </c>
      <c r="M3" s="3" t="inlineStr">
        <is>
          <t>Hậu điều kiện cần kiểm tra</t>
        </is>
      </c>
      <c r="N3" s="3" t="inlineStr">
        <is>
          <t>Actual Result</t>
        </is>
      </c>
      <c r="O3" s="3" t="inlineStr">
        <is>
          <t>Status</t>
        </is>
      </c>
      <c r="P3" s="3" t="inlineStr">
        <is>
          <t>Severity nếu lỗi</t>
        </is>
      </c>
      <c r="Q3" s="3" t="inlineStr">
        <is>
          <t>Defect ID</t>
        </is>
      </c>
      <c r="R3" s="3" t="inlineStr">
        <is>
          <t>Tester</t>
        </is>
      </c>
      <c r="S3" s="3" t="inlineStr">
        <is>
          <t>Ngày chạy</t>
        </is>
      </c>
      <c r="T3" s="3" t="inlineStr">
        <is>
          <t>Evidence/Link</t>
        </is>
      </c>
      <c r="U3" s="3" t="inlineStr">
        <is>
          <t>Automation</t>
        </is>
      </c>
      <c r="V3" s="3" t="inlineStr">
        <is>
          <t>Ghi chú</t>
        </is>
      </c>
    </row>
    <row r="4" ht="132" customHeight="1">
      <c r="A4" s="4" t="n">
        <v>1</v>
      </c>
      <c r="B4" s="14" t="inlineStr">
        <is>
          <t>COM03-01</t>
        </is>
      </c>
      <c r="C4" s="4" t="inlineStr">
        <is>
          <t>UC-COM-03</t>
        </is>
      </c>
      <c r="D4" s="4" t="inlineStr">
        <is>
          <t>Đăng nhập bằng email hợp lệ</t>
        </is>
      </c>
      <c r="E4" s="15" t="inlineStr">
        <is>
          <t>P0</t>
        </is>
      </c>
      <c r="F4" s="4" t="inlineStr">
        <is>
          <t>Functional</t>
        </is>
      </c>
      <c r="G4" s="4" t="inlineStr">
        <is>
          <t>API + UI/E2E</t>
        </is>
      </c>
      <c r="H4" s="4" t="inlineStr">
        <is>
          <t>POST /api/v1/common/auth/login/
POST /api/token/refresh/</t>
        </is>
      </c>
      <c r="I4" s="4" t="inlineStr">
        <is>
          <t>Có tài khoản theo trạng thái yêu cầu: ACTIVE/UNVERIFIED/LOCKED và membership phù hợp.</t>
        </is>
      </c>
      <c r="J4" s="4" t="inlineStr">
        <is>
          <t>login=user@example.com; password=StrongPass!2026; devices=S1/S2
Bổ sung: AI stub hỗ trợ success, timeout, HTTP 500, invalid JSON và oversized response</t>
        </is>
      </c>
      <c r="K4" s="4" t="inlineStr">
        <is>
          <t>1. Chuẩn bị dữ liệu đúng mục 'Điều kiện trước' và ghi lại các ID ban đầu.
2. Mở màn hình/API tương ứng ở trạng thái chưa xác thực, trừ khi kịch bản yêu cầu session có sẵn.
3. Thực hiện kịch bản: Đăng nhập bằng email hợp lệ.
4. Ghi lại HTTP status, response body và thông báo/điều hướng trên UI (nếu có).
5. Kiểm tra response JWT/session, LoginLog, failed count/lock và company selection.
6. So sánh toàn bộ kết quả với cột 'Kết quả mong đợi' và đính kèm evidence nếu Fail/Blocked.</t>
        </is>
      </c>
      <c r="L4" s="4" t="inlineStr">
        <is>
          <t>200; trả access, refresh, session, user và danh sách doanh nghiệp</t>
        </is>
      </c>
      <c r="M4" s="4" t="inlineStr">
        <is>
          <t>Session và LoginLog đúng; không cấp token ngoài luồng thành công.</t>
        </is>
      </c>
      <c r="N4" s="4" t="inlineStr"/>
      <c r="O4" s="16" t="inlineStr">
        <is>
          <t>Not Run</t>
        </is>
      </c>
      <c r="P4" s="4" t="inlineStr"/>
      <c r="Q4" s="4" t="inlineStr"/>
      <c r="R4" s="4" t="inlineStr"/>
      <c r="S4" s="4" t="inlineStr"/>
      <c r="T4" s="4" t="inlineStr"/>
      <c r="U4" s="4" t="inlineStr">
        <is>
          <t>Candidate</t>
        </is>
      </c>
      <c r="V4" s="4" t="inlineStr"/>
    </row>
    <row r="5" ht="132" customHeight="1">
      <c r="A5" s="5" t="n">
        <v>2</v>
      </c>
      <c r="B5" s="17" t="inlineStr">
        <is>
          <t>COM03-02</t>
        </is>
      </c>
      <c r="C5" s="5" t="inlineStr">
        <is>
          <t>UC-COM-03</t>
        </is>
      </c>
      <c r="D5" s="5" t="inlineStr">
        <is>
          <t>Đăng nhập bằng username hợp lệ, không phân biệt hoa thường</t>
        </is>
      </c>
      <c r="E5" s="15" t="inlineStr">
        <is>
          <t>P0</t>
        </is>
      </c>
      <c r="F5" s="5" t="inlineStr">
        <is>
          <t>Functional</t>
        </is>
      </c>
      <c r="G5" s="5" t="inlineStr">
        <is>
          <t>API + UI/E2E</t>
        </is>
      </c>
      <c r="H5" s="5" t="inlineStr">
        <is>
          <t>POST /api/v1/common/auth/login/
POST /api/token/refresh/</t>
        </is>
      </c>
      <c r="I5" s="5" t="inlineStr">
        <is>
          <t>Có tài khoản theo trạng thái yêu cầu: ACTIVE/UNVERIFIED/LOCKED và membership phù hợp.</t>
        </is>
      </c>
      <c r="J5" s="5" t="inlineStr">
        <is>
          <t>login=user@example.com; password=StrongPass!2026; devices=S1/S2</t>
        </is>
      </c>
      <c r="K5" s="5" t="inlineStr">
        <is>
          <t>1. Chuẩn bị dữ liệu đúng mục 'Điều kiện trước' và ghi lại các ID ban đầu.
2. Mở màn hình/API tương ứng ở trạng thái chưa xác thực, trừ khi kịch bản yêu cầu session có sẵn.
3. Thực hiện kịch bản: Đăng nhập bằng username hợp lệ, không phân biệt hoa thường.
4. Ghi lại HTTP status, response body và thông báo/điều hướng trên UI (nếu có).
5. Kiểm tra response JWT/session, LoginLog, failed count/lock và company selection.
6. So sánh toàn bộ kết quả với cột 'Kết quả mong đợi' và đính kèm evidence nếu Fail/Blocked.</t>
        </is>
      </c>
      <c r="L5" s="5" t="inlineStr">
        <is>
          <t>Thành công như email; ghi LoginLog SUCCESS</t>
        </is>
      </c>
      <c r="M5" s="5" t="inlineStr">
        <is>
          <t>Session và LoginLog đúng; không cấp token ngoài luồng thành công.</t>
        </is>
      </c>
      <c r="N5" s="5" t="inlineStr"/>
      <c r="O5" s="18" t="inlineStr">
        <is>
          <t>Not Run</t>
        </is>
      </c>
      <c r="P5" s="5" t="inlineStr"/>
      <c r="Q5" s="5" t="inlineStr"/>
      <c r="R5" s="5" t="inlineStr"/>
      <c r="S5" s="5" t="inlineStr"/>
      <c r="T5" s="5" t="inlineStr"/>
      <c r="U5" s="5" t="inlineStr">
        <is>
          <t>Candidate</t>
        </is>
      </c>
      <c r="V5" s="5" t="inlineStr"/>
    </row>
    <row r="6" ht="132" customHeight="1">
      <c r="A6" s="4" t="n">
        <v>3</v>
      </c>
      <c r="B6" s="14" t="inlineStr">
        <is>
          <t>COM03-03</t>
        </is>
      </c>
      <c r="C6" s="4" t="inlineStr">
        <is>
          <t>UC-COM-03</t>
        </is>
      </c>
      <c r="D6" s="4" t="inlineStr">
        <is>
          <t>Sai password hoặc identifier không tồn tại</t>
        </is>
      </c>
      <c r="E6" s="15" t="inlineStr">
        <is>
          <t>P0</t>
        </is>
      </c>
      <c r="F6" s="4" t="inlineStr">
        <is>
          <t>Functional</t>
        </is>
      </c>
      <c r="G6" s="4" t="inlineStr">
        <is>
          <t>API + UI/E2E</t>
        </is>
      </c>
      <c r="H6" s="4" t="inlineStr">
        <is>
          <t>POST /api/v1/common/auth/login/
POST /api/token/refresh/</t>
        </is>
      </c>
      <c r="I6" s="4" t="inlineStr">
        <is>
          <t>Có tài khoản theo trạng thái yêu cầu: ACTIVE/UNVERIFIED/LOCKED và membership phù hợp.</t>
        </is>
      </c>
      <c r="J6" s="4" t="inlineStr">
        <is>
          <t>login=user@example.com; password=StrongPass!2026; devices=S1/S2
Bổ sung: AI stub hỗ trợ success, timeout, HTTP 500, invalid JSON và oversized response</t>
        </is>
      </c>
      <c r="K6" s="4" t="inlineStr">
        <is>
          <t>1. Chuẩn bị dữ liệu đúng mục 'Điều kiện trước' và ghi lại các ID ban đầu.
2. Mở màn hình/API tương ứng ở trạng thái chưa xác thực, trừ khi kịch bản yêu cầu session có sẵn.
3. Thực hiện kịch bản: Sai password hoặc identifier không tồn tại.
4. Ghi lại HTTP status, response body và thông báo/điều hướng trên UI (nếu có).
5. Kiểm tra response JWT/session, LoginLog, failed count/lock và company selection.
6. So sánh toàn bộ kết quả với cột 'Kết quả mong đợi' và đính kèm evidence nếu Fail/Blocked.</t>
        </is>
      </c>
      <c r="L6" s="4" t="inlineStr">
        <is>
          <t>401; thông báo không cho phép suy ra tài khoản tồn tại; ghi log phù hợp</t>
        </is>
      </c>
      <c r="M6" s="4" t="inlineStr">
        <is>
          <t>Session và LoginLog đúng; không cấp token ngoài luồng thành công.</t>
        </is>
      </c>
      <c r="N6" s="4" t="inlineStr"/>
      <c r="O6" s="16" t="inlineStr">
        <is>
          <t>Not Run</t>
        </is>
      </c>
      <c r="P6" s="4" t="inlineStr"/>
      <c r="Q6" s="4" t="inlineStr"/>
      <c r="R6" s="4" t="inlineStr"/>
      <c r="S6" s="4" t="inlineStr"/>
      <c r="T6" s="4" t="inlineStr"/>
      <c r="U6" s="4" t="inlineStr">
        <is>
          <t>Candidate</t>
        </is>
      </c>
      <c r="V6" s="4" t="inlineStr"/>
    </row>
    <row r="7" ht="132" customHeight="1">
      <c r="A7" s="5" t="n">
        <v>4</v>
      </c>
      <c r="B7" s="17" t="inlineStr">
        <is>
          <t>COM03-04</t>
        </is>
      </c>
      <c r="C7" s="5" t="inlineStr">
        <is>
          <t>UC-COM-03</t>
        </is>
      </c>
      <c r="D7" s="5" t="inlineStr">
        <is>
          <t>Tài khoản chưa xác thực</t>
        </is>
      </c>
      <c r="E7" s="15" t="inlineStr">
        <is>
          <t>P0</t>
        </is>
      </c>
      <c r="F7" s="5" t="inlineStr">
        <is>
          <t>Functional</t>
        </is>
      </c>
      <c r="G7" s="5" t="inlineStr">
        <is>
          <t>API + UI/E2E</t>
        </is>
      </c>
      <c r="H7" s="5" t="inlineStr">
        <is>
          <t>POST /api/v1/common/auth/login/
POST /api/token/refresh/</t>
        </is>
      </c>
      <c r="I7" s="5" t="inlineStr">
        <is>
          <t>Có tài khoản theo trạng thái yêu cầu: ACTIVE/UNVERIFIED/LOCKED và membership phù hợp.</t>
        </is>
      </c>
      <c r="J7" s="5" t="inlineStr">
        <is>
          <t>login=user@example.com; password=StrongPass!2026; devices=S1/S2</t>
        </is>
      </c>
      <c r="K7" s="5" t="inlineStr">
        <is>
          <t>1. Chuẩn bị dữ liệu đúng mục 'Điều kiện trước' và ghi lại các ID ban đầu.
2. Mở màn hình/API tương ứng ở trạng thái chưa xác thực, trừ khi kịch bản yêu cầu session có sẵn.
3. Thực hiện kịch bản: Tài khoản chưa xác thực.
4. Ghi lại HTTP status, response body và thông báo/điều hướng trên UI (nếu có).
5. Kiểm tra response JWT/session, LoginLog, failed count/lock và company selection.
6. So sánh toàn bộ kết quả với cột 'Kết quả mong đợi' và đính kèm evidence nếu Fail/Blocked.</t>
        </is>
      </c>
      <c r="L7" s="5" t="inlineStr">
        <is>
          <t>401 với trạng thái pending verification; không cấp token</t>
        </is>
      </c>
      <c r="M7" s="5" t="inlineStr">
        <is>
          <t>Session và LoginLog đúng; không cấp token ngoài luồng thành công.</t>
        </is>
      </c>
      <c r="N7" s="5" t="inlineStr"/>
      <c r="O7" s="18" t="inlineStr">
        <is>
          <t>Not Run</t>
        </is>
      </c>
      <c r="P7" s="5" t="inlineStr"/>
      <c r="Q7" s="5" t="inlineStr"/>
      <c r="R7" s="5" t="inlineStr"/>
      <c r="S7" s="5" t="inlineStr"/>
      <c r="T7" s="5" t="inlineStr"/>
      <c r="U7" s="5" t="inlineStr">
        <is>
          <t>Candidate</t>
        </is>
      </c>
      <c r="V7" s="5" t="inlineStr"/>
    </row>
    <row r="8" ht="132" customHeight="1">
      <c r="A8" s="4" t="n">
        <v>5</v>
      </c>
      <c r="B8" s="14" t="inlineStr">
        <is>
          <t>COM03-05</t>
        </is>
      </c>
      <c r="C8" s="4" t="inlineStr">
        <is>
          <t>UC-COM-03</t>
        </is>
      </c>
      <c r="D8" s="4" t="inlineStr">
        <is>
          <t>Sai 5 lần liên tiếp</t>
        </is>
      </c>
      <c r="E8" s="15" t="inlineStr">
        <is>
          <t>P0</t>
        </is>
      </c>
      <c r="F8" s="4" t="inlineStr">
        <is>
          <t>Functional</t>
        </is>
      </c>
      <c r="G8" s="4" t="inlineStr">
        <is>
          <t>API + UI/E2E</t>
        </is>
      </c>
      <c r="H8" s="4" t="inlineStr">
        <is>
          <t>POST /api/v1/common/auth/login/
POST /api/token/refresh/</t>
        </is>
      </c>
      <c r="I8" s="4" t="inlineStr">
        <is>
          <t>Có tài khoản theo trạng thái yêu cầu: ACTIVE/UNVERIFIED/LOCKED và membership phù hợp.</t>
        </is>
      </c>
      <c r="J8" s="4" t="inlineStr">
        <is>
          <t>login=user@example.com; password=StrongPass!2026; devices=S1/S2
Bổ sung: AI stub hỗ trợ success, timeout, HTTP 500, invalid JSON và oversized response</t>
        </is>
      </c>
      <c r="K8" s="4" t="inlineStr">
        <is>
          <t>1. Chuẩn bị dữ liệu đúng mục 'Điều kiện trước' và ghi lại các ID ban đầu.
2. Mở màn hình/API tương ứng ở trạng thái chưa xác thực, trừ khi kịch bản yêu cầu session có sẵn.
3. Thực hiện kịch bản: Sai 5 lần liên tiếp.
4. Ghi lại HTTP status, response body và thông báo/điều hướng trên UI (nếu có).
5. Kiểm tra response JWT/session, LoginLog, failed count/lock và company selection.
6. So sánh toàn bộ kết quả với cột 'Kết quả mong đợi' và đính kèm evidence nếu Fail/Blocked.</t>
        </is>
      </c>
      <c r="L8" s="4" t="inlineStr">
        <is>
          <t>Tài khoản khóa 15 phút; các session đang hoạt động bị revoke</t>
        </is>
      </c>
      <c r="M8" s="4" t="inlineStr">
        <is>
          <t>Session và LoginLog đúng; không cấp token ngoài luồng thành công.</t>
        </is>
      </c>
      <c r="N8" s="4" t="inlineStr"/>
      <c r="O8" s="16" t="inlineStr">
        <is>
          <t>Not Run</t>
        </is>
      </c>
      <c r="P8" s="4" t="inlineStr"/>
      <c r="Q8" s="4" t="inlineStr"/>
      <c r="R8" s="4" t="inlineStr"/>
      <c r="S8" s="4" t="inlineStr"/>
      <c r="T8" s="4" t="inlineStr"/>
      <c r="U8" s="4" t="inlineStr">
        <is>
          <t>Candidate</t>
        </is>
      </c>
      <c r="V8" s="4" t="inlineStr"/>
    </row>
    <row r="9" ht="132" customHeight="1">
      <c r="A9" s="5" t="n">
        <v>6</v>
      </c>
      <c r="B9" s="17" t="inlineStr">
        <is>
          <t>COM03-06</t>
        </is>
      </c>
      <c r="C9" s="5" t="inlineStr">
        <is>
          <t>UC-COM-03</t>
        </is>
      </c>
      <c r="D9" s="5" t="inlineStr">
        <is>
          <t>Đăng nhập đúng trong thời gian bị khóa</t>
        </is>
      </c>
      <c r="E9" s="15" t="inlineStr">
        <is>
          <t>P0</t>
        </is>
      </c>
      <c r="F9" s="5" t="inlineStr">
        <is>
          <t>Security/Authorization</t>
        </is>
      </c>
      <c r="G9" s="5" t="inlineStr">
        <is>
          <t>API + Integration</t>
        </is>
      </c>
      <c r="H9" s="5" t="inlineStr">
        <is>
          <t>POST /api/v1/common/auth/login/
POST /api/token/refresh/</t>
        </is>
      </c>
      <c r="I9" s="5" t="inlineStr">
        <is>
          <t>Có tài khoản theo trạng thái yêu cầu: ACTIVE/UNVERIFIED/LOCKED và membership phù hợp.</t>
        </is>
      </c>
      <c r="J9" s="5" t="inlineStr">
        <is>
          <t>login=user@example.com; password=StrongPass!2026; devices=S1/S2</t>
        </is>
      </c>
      <c r="K9" s="5" t="inlineStr">
        <is>
          <t>1. Chuẩn bị dữ liệu đúng mục 'Điều kiện trước' và ghi lại các ID ban đầu.
2. Mở màn hình/API tương ứng ở trạng thái chưa xác thực, trừ khi kịch bản yêu cầu session có sẵn.
3. Thực hiện kịch bản: Đăng nhập đúng trong thời gian bị khóa.
4. Ghi lại HTTP status, response body và thông báo/điều hướng trên UI (nếu có).
5. Kiểm tra response JWT/session, LoginLog, failed count/lock và company selection.
6. So sánh toàn bộ kết quả với cột 'Kết quả mong đợi' và đính kèm evidence nếu Fail/Blocked.</t>
        </is>
      </c>
      <c r="L9" s="5" t="inlineStr">
        <is>
          <t>Bị từ chối bằng thông báo chung; không tiết lộ chi tiết khóa</t>
        </is>
      </c>
      <c r="M9" s="5" t="inlineStr">
        <is>
          <t>Session và LoginLog đúng; không cấp token ngoài luồng thành công.</t>
        </is>
      </c>
      <c r="N9" s="5" t="inlineStr"/>
      <c r="O9" s="18" t="inlineStr">
        <is>
          <t>Not Run</t>
        </is>
      </c>
      <c r="P9" s="5" t="inlineStr"/>
      <c r="Q9" s="5" t="inlineStr"/>
      <c r="R9" s="5" t="inlineStr"/>
      <c r="S9" s="5" t="inlineStr"/>
      <c r="T9" s="5" t="inlineStr"/>
      <c r="U9" s="5" t="inlineStr">
        <is>
          <t>Candidate</t>
        </is>
      </c>
      <c r="V9" s="5" t="inlineStr"/>
    </row>
    <row r="10" ht="132" customHeight="1">
      <c r="A10" s="4" t="n">
        <v>7</v>
      </c>
      <c r="B10" s="14" t="inlineStr">
        <is>
          <t>COM03-07</t>
        </is>
      </c>
      <c r="C10" s="4" t="inlineStr">
        <is>
          <t>UC-COM-03</t>
        </is>
      </c>
      <c r="D10" s="4" t="inlineStr">
        <is>
          <t>Đăng nhập sau khi hết thời gian khóa</t>
        </is>
      </c>
      <c r="E10" s="19" t="inlineStr">
        <is>
          <t>P1</t>
        </is>
      </c>
      <c r="F10" s="4" t="inlineStr">
        <is>
          <t>Security/Authorization</t>
        </is>
      </c>
      <c r="G10" s="4" t="inlineStr">
        <is>
          <t>API + Integration</t>
        </is>
      </c>
      <c r="H10" s="4" t="inlineStr">
        <is>
          <t>POST /api/v1/common/auth/login/
POST /api/token/refresh/</t>
        </is>
      </c>
      <c r="I10" s="4" t="inlineStr">
        <is>
          <t>Có tài khoản theo trạng thái yêu cầu: ACTIVE/UNVERIFIED/LOCKED và membership phù hợp.</t>
        </is>
      </c>
      <c r="J10" s="4" t="inlineStr">
        <is>
          <t>login=user@example.com; password=StrongPass!2026; devices=S1/S2</t>
        </is>
      </c>
      <c r="K10" s="4" t="inlineStr">
        <is>
          <t>1. Chuẩn bị dữ liệu đúng mục 'Điều kiện trước' và ghi lại các ID ban đầu.
2. Mở màn hình/API tương ứng ở trạng thái chưa xác thực, trừ khi kịch bản yêu cầu session có sẵn.
3. Thực hiện kịch bản: Đăng nhập sau khi hết thời gian khóa.
4. Ghi lại HTTP status, response body và thông báo/điều hướng trên UI (nếu có).
5. Kiểm tra response JWT/session, LoginLog, failed count/lock và company selection.
6. So sánh toàn bộ kết quả với cột 'Kết quả mong đợi' và đính kèm evidence nếu Fail/Blocked.</t>
        </is>
      </c>
      <c r="L10" s="4" t="inlineStr">
        <is>
          <t>Thành công; reset failed count và locked_until</t>
        </is>
      </c>
      <c r="M10" s="4" t="inlineStr">
        <is>
          <t>Session và LoginLog đúng; không cấp token ngoài luồng thành công.</t>
        </is>
      </c>
      <c r="N10" s="4" t="inlineStr"/>
      <c r="O10" s="16" t="inlineStr">
        <is>
          <t>Not Run</t>
        </is>
      </c>
      <c r="P10" s="4" t="inlineStr"/>
      <c r="Q10" s="4" t="inlineStr"/>
      <c r="R10" s="4" t="inlineStr"/>
      <c r="S10" s="4" t="inlineStr"/>
      <c r="T10" s="4" t="inlineStr"/>
      <c r="U10" s="4" t="inlineStr">
        <is>
          <t>Candidate</t>
        </is>
      </c>
      <c r="V10" s="4" t="inlineStr"/>
    </row>
    <row r="11" ht="132" customHeight="1">
      <c r="A11" s="5" t="n">
        <v>8</v>
      </c>
      <c r="B11" s="17" t="inlineStr">
        <is>
          <t>COM03-08</t>
        </is>
      </c>
      <c r="C11" s="5" t="inlineStr">
        <is>
          <t>UC-COM-03</t>
        </is>
      </c>
      <c r="D11" s="5" t="inlineStr">
        <is>
          <t>Vượt rate limit 30 lần/5 phút</t>
        </is>
      </c>
      <c r="E11" s="15" t="inlineStr">
        <is>
          <t>P0</t>
        </is>
      </c>
      <c r="F11" s="5" t="inlineStr">
        <is>
          <t>Security/Authorization</t>
        </is>
      </c>
      <c r="G11" s="5" t="inlineStr">
        <is>
          <t>API + Integration</t>
        </is>
      </c>
      <c r="H11" s="5" t="inlineStr">
        <is>
          <t>POST /api/v1/common/auth/login/
POST /api/token/refresh/</t>
        </is>
      </c>
      <c r="I11" s="5" t="inlineStr">
        <is>
          <t>Có tài khoản theo trạng thái yêu cầu: ACTIVE/UNVERIFIED/LOCKED và membership phù hợp.</t>
        </is>
      </c>
      <c r="J11" s="5" t="inlineStr">
        <is>
          <t>login=user@example.com; password=StrongPass!2026; devices=S1/S2
Bổ sung: Gửi request liên tiếp vượt ngưỡng cấu hình từ cùng identifier/IP</t>
        </is>
      </c>
      <c r="K11" s="5" t="inlineStr">
        <is>
          <t>1. Chuẩn bị dữ liệu đúng mục 'Điều kiện trước' và ghi lại các ID ban đầu.
2. Mở màn hình/API tương ứng ở trạng thái chưa xác thực, trừ khi kịch bản yêu cầu session có sẵn.
3. Thực hiện kịch bản: Vượt rate limit 30 lần/5 phút.
4. Ghi lại HTTP status, response body và thông báo/điều hướng trên UI (nếu có).
5. Kiểm tra response JWT/session, LoginLog, failed count/lock và company selection.
6. So sánh toàn bộ kết quả với cột 'Kết quả mong đợi' và đính kèm evidence nếu Fail/Blocked.</t>
        </is>
      </c>
      <c r="L11" s="5" t="inlineStr">
        <is>
          <t>429; áp dụng theo identifier và IP</t>
        </is>
      </c>
      <c r="M11" s="5" t="inlineStr">
        <is>
          <t>Session và LoginLog đúng; không cấp token ngoài luồng thành công.</t>
        </is>
      </c>
      <c r="N11" s="5" t="inlineStr"/>
      <c r="O11" s="18" t="inlineStr">
        <is>
          <t>Not Run</t>
        </is>
      </c>
      <c r="P11" s="5" t="inlineStr"/>
      <c r="Q11" s="5" t="inlineStr"/>
      <c r="R11" s="5" t="inlineStr"/>
      <c r="S11" s="5" t="inlineStr"/>
      <c r="T11" s="5" t="inlineStr"/>
      <c r="U11" s="5" t="inlineStr">
        <is>
          <t>Candidate</t>
        </is>
      </c>
      <c r="V11" s="5" t="inlineStr"/>
    </row>
    <row r="12" ht="132" customHeight="1">
      <c r="A12" s="4" t="n">
        <v>9</v>
      </c>
      <c r="B12" s="14" t="inlineStr">
        <is>
          <t>COM03-09</t>
        </is>
      </c>
      <c r="C12" s="4" t="inlineStr">
        <is>
          <t>UC-COM-03</t>
        </is>
      </c>
      <c r="D12" s="4" t="inlineStr">
        <is>
          <t>User chưa có doanh nghiệp</t>
        </is>
      </c>
      <c r="E12" s="19" t="inlineStr">
        <is>
          <t>P1</t>
        </is>
      </c>
      <c r="F12" s="4" t="inlineStr">
        <is>
          <t>Functional</t>
        </is>
      </c>
      <c r="G12" s="4" t="inlineStr">
        <is>
          <t>API + UI/E2E</t>
        </is>
      </c>
      <c r="H12" s="4" t="inlineStr">
        <is>
          <t>POST /api/v1/common/auth/login/
POST /api/token/refresh/</t>
        </is>
      </c>
      <c r="I12" s="4" t="inlineStr">
        <is>
          <t>Có tài khoản theo trạng thái yêu cầu: ACTIVE/UNVERIFIED/LOCKED và membership phù hợp.</t>
        </is>
      </c>
      <c r="J12" s="4" t="inlineStr">
        <is>
          <t>login=user@example.com; password=StrongPass!2026; devices=S1/S2</t>
        </is>
      </c>
      <c r="K12" s="4" t="inlineStr">
        <is>
          <t>1. Chuẩn bị dữ liệu đúng mục 'Điều kiện trước' và ghi lại các ID ban đầu.
2. Mở màn hình/API tương ứng ở trạng thái chưa xác thực, trừ khi kịch bản yêu cầu session có sẵn.
3. Thực hiện kịch bản: User chưa có doanh nghiệp.
4. Ghi lại HTTP status, response body và thông báo/điều hướng trên UI (nếu có).
5. Kiểm tra response JWT/session, LoginLog, failed count/lock và company selection.
6. So sánh toàn bộ kết quả với cột 'Kết quả mong đợi' và đính kèm evidence nếu Fail/Blocked.</t>
        </is>
      </c>
      <c r="L12" s="4" t="inlineStr">
        <is>
          <t>requires_company_setup=true; không tự chọn company</t>
        </is>
      </c>
      <c r="M12" s="4" t="inlineStr">
        <is>
          <t>Session và LoginLog đúng; không cấp token ngoài luồng thành công.</t>
        </is>
      </c>
      <c r="N12" s="4" t="inlineStr"/>
      <c r="O12" s="16" t="inlineStr">
        <is>
          <t>Not Run</t>
        </is>
      </c>
      <c r="P12" s="4" t="inlineStr"/>
      <c r="Q12" s="4" t="inlineStr"/>
      <c r="R12" s="4" t="inlineStr"/>
      <c r="S12" s="4" t="inlineStr"/>
      <c r="T12" s="4" t="inlineStr"/>
      <c r="U12" s="4" t="inlineStr">
        <is>
          <t>Candidate</t>
        </is>
      </c>
      <c r="V12" s="4" t="inlineStr"/>
    </row>
    <row r="13" ht="132" customHeight="1">
      <c r="A13" s="5" t="n">
        <v>10</v>
      </c>
      <c r="B13" s="17" t="inlineStr">
        <is>
          <t>COM03-10</t>
        </is>
      </c>
      <c r="C13" s="5" t="inlineStr">
        <is>
          <t>UC-COM-03</t>
        </is>
      </c>
      <c r="D13" s="5" t="inlineStr">
        <is>
          <t>User có đúng một doanh nghiệp</t>
        </is>
      </c>
      <c r="E13" s="19" t="inlineStr">
        <is>
          <t>P1</t>
        </is>
      </c>
      <c r="F13" s="5" t="inlineStr">
        <is>
          <t>Functional</t>
        </is>
      </c>
      <c r="G13" s="5" t="inlineStr">
        <is>
          <t>API + UI/E2E</t>
        </is>
      </c>
      <c r="H13" s="5" t="inlineStr">
        <is>
          <t>POST /api/v1/common/auth/login/
POST /api/token/refresh/</t>
        </is>
      </c>
      <c r="I13" s="5" t="inlineStr">
        <is>
          <t>Có tài khoản theo trạng thái yêu cầu: ACTIVE/UNVERIFIED/LOCKED và membership phù hợp.</t>
        </is>
      </c>
      <c r="J13" s="5" t="inlineStr">
        <is>
          <t>login=user@example.com; password=StrongPass!2026; devices=S1/S2</t>
        </is>
      </c>
      <c r="K13" s="5" t="inlineStr">
        <is>
          <t>1. Chuẩn bị dữ liệu đúng mục 'Điều kiện trước' và ghi lại các ID ban đầu.
2. Mở màn hình/API tương ứng ở trạng thái chưa xác thực, trừ khi kịch bản yêu cầu session có sẵn.
3. Thực hiện kịch bản: User có đúng một doanh nghiệp.
4. Ghi lại HTTP status, response body và thông báo/điều hướng trên UI (nếu có).
5. Kiểm tra response JWT/session, LoginLog, failed count/lock và company selection.
6. So sánh toàn bộ kết quả với cột 'Kết quả mong đợi' và đính kèm evidence nếu Fail/Blocked.</t>
        </is>
      </c>
      <c r="L13" s="5" t="inlineStr">
        <is>
          <t>Tự chọn current_company; requires_company_selection=false</t>
        </is>
      </c>
      <c r="M13" s="5" t="inlineStr">
        <is>
          <t>Session và LoginLog đúng; không cấp token ngoài luồng thành công.</t>
        </is>
      </c>
      <c r="N13" s="5" t="inlineStr"/>
      <c r="O13" s="18" t="inlineStr">
        <is>
          <t>Not Run</t>
        </is>
      </c>
      <c r="P13" s="5" t="inlineStr"/>
      <c r="Q13" s="5" t="inlineStr"/>
      <c r="R13" s="5" t="inlineStr"/>
      <c r="S13" s="5" t="inlineStr"/>
      <c r="T13" s="5" t="inlineStr"/>
      <c r="U13" s="5" t="inlineStr">
        <is>
          <t>Candidate</t>
        </is>
      </c>
      <c r="V13" s="5" t="inlineStr"/>
    </row>
    <row r="14" ht="132" customHeight="1">
      <c r="A14" s="4" t="n">
        <v>11</v>
      </c>
      <c r="B14" s="14" t="inlineStr">
        <is>
          <t>COM03-11</t>
        </is>
      </c>
      <c r="C14" s="4" t="inlineStr">
        <is>
          <t>UC-COM-03</t>
        </is>
      </c>
      <c r="D14" s="4" t="inlineStr">
        <is>
          <t>User có nhiều doanh nghiệp</t>
        </is>
      </c>
      <c r="E14" s="19" t="inlineStr">
        <is>
          <t>P1</t>
        </is>
      </c>
      <c r="F14" s="4" t="inlineStr">
        <is>
          <t>Functional</t>
        </is>
      </c>
      <c r="G14" s="4" t="inlineStr">
        <is>
          <t>API + UI/E2E</t>
        </is>
      </c>
      <c r="H14" s="4" t="inlineStr">
        <is>
          <t>POST /api/v1/common/auth/login/
POST /api/token/refresh/</t>
        </is>
      </c>
      <c r="I14" s="4" t="inlineStr">
        <is>
          <t>Có tài khoản theo trạng thái yêu cầu: ACTIVE/UNVERIFIED/LOCKED và membership phù hợp.</t>
        </is>
      </c>
      <c r="J14" s="4" t="inlineStr">
        <is>
          <t>login=user@example.com; password=StrongPass!2026; devices=S1/S2</t>
        </is>
      </c>
      <c r="K14" s="4" t="inlineStr">
        <is>
          <t>1. Chuẩn bị dữ liệu đúng mục 'Điều kiện trước' và ghi lại các ID ban đầu.
2. Mở màn hình/API tương ứng ở trạng thái chưa xác thực, trừ khi kịch bản yêu cầu session có sẵn.
3. Thực hiện kịch bản: User có nhiều doanh nghiệp.
4. Ghi lại HTTP status, response body và thông báo/điều hướng trên UI (nếu có).
5. Kiểm tra response JWT/session, LoginLog, failed count/lock và company selection.
6. So sánh toàn bộ kết quả với cột 'Kết quả mong đợi' và đính kèm evidence nếu Fail/Blocked.</t>
        </is>
      </c>
      <c r="L14" s="4" t="inlineStr">
        <is>
          <t>requires_company_selection=true; không tự chọn tùy tiện</t>
        </is>
      </c>
      <c r="M14" s="4" t="inlineStr">
        <is>
          <t>Session và LoginLog đúng; không cấp token ngoài luồng thành công.</t>
        </is>
      </c>
      <c r="N14" s="4" t="inlineStr"/>
      <c r="O14" s="16" t="inlineStr">
        <is>
          <t>Not Run</t>
        </is>
      </c>
      <c r="P14" s="4" t="inlineStr"/>
      <c r="Q14" s="4" t="inlineStr"/>
      <c r="R14" s="4" t="inlineStr"/>
      <c r="S14" s="4" t="inlineStr"/>
      <c r="T14" s="4" t="inlineStr"/>
      <c r="U14" s="4" t="inlineStr">
        <is>
          <t>Candidate</t>
        </is>
      </c>
      <c r="V14" s="4" t="inlineStr"/>
    </row>
    <row r="15" ht="132" customHeight="1">
      <c r="A15" s="5" t="n">
        <v>12</v>
      </c>
      <c r="B15" s="17" t="inlineStr">
        <is>
          <t>COM03-12</t>
        </is>
      </c>
      <c r="C15" s="5" t="inlineStr">
        <is>
          <t>UC-COM-03</t>
        </is>
      </c>
      <c r="D15" s="5" t="inlineStr">
        <is>
          <t>Refresh token hợp lệ/revoked/hết hạn/sai chữ ký</t>
        </is>
      </c>
      <c r="E15" s="15" t="inlineStr">
        <is>
          <t>P0</t>
        </is>
      </c>
      <c r="F15" s="5" t="inlineStr">
        <is>
          <t>Functional</t>
        </is>
      </c>
      <c r="G15" s="5" t="inlineStr">
        <is>
          <t>API + UI/E2E</t>
        </is>
      </c>
      <c r="H15" s="5" t="inlineStr">
        <is>
          <t>POST /api/v1/common/auth/login/
POST /api/token/refresh/</t>
        </is>
      </c>
      <c r="I15" s="5" t="inlineStr">
        <is>
          <t>Có tài khoản theo trạng thái yêu cầu: ACTIVE/UNVERIFIED/LOCKED và membership phù hợp.</t>
        </is>
      </c>
      <c r="J15" s="5" t="inlineStr">
        <is>
          <t>login=user@example.com; password=StrongPass!2026; devices=S1/S2
Bổ sung: Điều chỉnh expires_at về quá khứ bằng fixture/admin test; AI stub hỗ trợ success, timeout, HTTP 500, invalid JSON và oversized response</t>
        </is>
      </c>
      <c r="K15" s="5" t="inlineStr">
        <is>
          <t>1. Chuẩn bị dữ liệu đúng mục 'Điều kiện trước' và ghi lại các ID ban đầu.
2. Mở màn hình/API tương ứng ở trạng thái chưa xác thực, trừ khi kịch bản yêu cầu session có sẵn.
3. Thực hiện kịch bản: Refresh token hợp lệ/revoked/hết hạn/sai chữ ký.
4. Ghi lại HTTP status, response body và thông báo/điều hướng trên UI (nếu có).
5. Kiểm tra response JWT/session, LoginLog, failed count/lock và company selection.
6. So sánh toàn bộ kết quả với cột 'Kết quả mong đợi' và đính kèm evidence nếu Fail/Blocked.</t>
        </is>
      </c>
      <c r="L15" s="5" t="inlineStr">
        <is>
          <t>Chỉ token hợp lệ của session active được refresh; còn lại 401</t>
        </is>
      </c>
      <c r="M15" s="5" t="inlineStr">
        <is>
          <t>Session và LoginLog đúng; không cấp token ngoài luồng thành công.</t>
        </is>
      </c>
      <c r="N15" s="5" t="inlineStr"/>
      <c r="O15" s="18" t="inlineStr">
        <is>
          <t>Not Run</t>
        </is>
      </c>
      <c r="P15" s="5" t="inlineStr"/>
      <c r="Q15" s="5" t="inlineStr"/>
      <c r="R15" s="5" t="inlineStr"/>
      <c r="S15" s="5" t="inlineStr"/>
      <c r="T15" s="5" t="inlineStr"/>
      <c r="U15" s="5" t="inlineStr">
        <is>
          <t>Candidate</t>
        </is>
      </c>
      <c r="V15" s="5" t="inlineStr"/>
    </row>
    <row r="16" ht="132" customHeight="1">
      <c r="A16" s="4" t="n">
        <v>13</v>
      </c>
      <c r="B16" s="14" t="inlineStr">
        <is>
          <t>COM03-13</t>
        </is>
      </c>
      <c r="C16" s="4" t="inlineStr">
        <is>
          <t>UC-COM-03</t>
        </is>
      </c>
      <c r="D16" s="4" t="inlineStr">
        <is>
          <t>Hai thiết bị đăng nhập cùng lúc</t>
        </is>
      </c>
      <c r="E16" s="19" t="inlineStr">
        <is>
          <t>P1</t>
        </is>
      </c>
      <c r="F16" s="4" t="inlineStr">
        <is>
          <t>Functional</t>
        </is>
      </c>
      <c r="G16" s="4" t="inlineStr">
        <is>
          <t>API + UI/E2E</t>
        </is>
      </c>
      <c r="H16" s="4" t="inlineStr">
        <is>
          <t>POST /api/v1/common/auth/login/
POST /api/token/refresh/</t>
        </is>
      </c>
      <c r="I16" s="4" t="inlineStr">
        <is>
          <t>Có tài khoản theo trạng thái yêu cầu: ACTIVE/UNVERIFIED/LOCKED và membership phù hợp.</t>
        </is>
      </c>
      <c r="J16" s="4" t="inlineStr">
        <is>
          <t>login=user@example.com; password=StrongPass!2026; devices=S1/S2
Bổ sung: AI stub hỗ trợ success, timeout, HTTP 500, invalid JSON và oversized response</t>
        </is>
      </c>
      <c r="K16" s="4" t="inlineStr">
        <is>
          <t>1. Chuẩn bị dữ liệu đúng mục 'Điều kiện trước' và ghi lại các ID ban đầu.
2. Mở màn hình/API tương ứng ở trạng thái chưa xác thực, trừ khi kịch bản yêu cầu session có sẵn.
3. Thực hiện kịch bản: Hai thiết bị đăng nhập cùng lúc.
4. Ghi lại HTTP status, response body và thông báo/điều hướng trên UI (nếu có).
5. Kiểm tra response JWT/session, LoginLog, failed count/lock và company selection.
6. So sánh toàn bộ kết quả với cột 'Kết quả mong đợi' và đính kèm evidence nếu Fail/Blocked.</t>
        </is>
      </c>
      <c r="L16" s="4" t="inlineStr">
        <is>
          <t>Tạo hai session ID độc lập, lưu IP/User-Agent và không ghi đè nhau</t>
        </is>
      </c>
      <c r="M16" s="4" t="inlineStr">
        <is>
          <t>Session và LoginLog đúng; không cấp token ngoài luồng thành công.</t>
        </is>
      </c>
      <c r="N16" s="4" t="inlineStr"/>
      <c r="O16" s="16" t="inlineStr">
        <is>
          <t>Not Run</t>
        </is>
      </c>
      <c r="P16" s="4" t="inlineStr"/>
      <c r="Q16" s="4" t="inlineStr"/>
      <c r="R16" s="4" t="inlineStr"/>
      <c r="S16" s="4" t="inlineStr"/>
      <c r="T16" s="4" t="inlineStr"/>
      <c r="U16" s="4" t="inlineStr">
        <is>
          <t>Candidate</t>
        </is>
      </c>
      <c r="V16" s="4" t="inlineStr"/>
    </row>
  </sheetData>
  <autoFilter ref="A3:V16"/>
  <mergeCells count="2">
    <mergeCell ref="A2:V2"/>
    <mergeCell ref="A1:V1"/>
  </mergeCells>
  <conditionalFormatting sqref="O4:O16">
    <cfRule type="expression" priority="1" dxfId="0">
      <formula>$O4="Pass"</formula>
    </cfRule>
    <cfRule type="expression" priority="2" dxfId="1">
      <formula>$O4="Fail"</formula>
    </cfRule>
    <cfRule type="expression" priority="3" dxfId="2">
      <formula>$O4="Blocked"</formula>
    </cfRule>
    <cfRule type="expression" priority="4" dxfId="3">
      <formula>$O4="N/A"</formula>
    </cfRule>
  </conditionalFormatting>
  <dataValidations count="3">
    <dataValidation sqref="O4:O16" showDropDown="0" showInputMessage="0" showErrorMessage="0" allowBlank="1" type="list">
      <formula1>"Not Run,Pass,Fail,Blocked,N/A"</formula1>
    </dataValidation>
    <dataValidation sqref="P4:P16" showDropDown="0" showInputMessage="0" showErrorMessage="0" allowBlank="1" type="list">
      <formula1>"S1 Critical,S2 High,S3 Medium,S4 Low"</formula1>
    </dataValidation>
    <dataValidation sqref="U4:U16" showDropDown="0" showInputMessage="0" showErrorMessage="0" allowBlank="1" type="list">
      <formula1>"Manual,Automated,Candidate,Not Applicable"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10"/>
  <sheetViews>
    <sheetView showGridLines="0"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4" customWidth="1" min="2" max="2"/>
    <col width="14" customWidth="1" min="3" max="3"/>
    <col width="42" customWidth="1" min="4" max="4"/>
    <col width="10" customWidth="1" min="5" max="5"/>
    <col width="23" customWidth="1" min="6" max="6"/>
    <col width="18" customWidth="1" min="7" max="7"/>
    <col width="50" customWidth="1" min="8" max="8"/>
    <col width="48" customWidth="1" min="9" max="9"/>
    <col width="50" customWidth="1" min="10" max="10"/>
    <col width="70" customWidth="1" min="11" max="11"/>
    <col width="62" customWidth="1" min="12" max="12"/>
    <col width="46" customWidth="1" min="13" max="13"/>
    <col width="50" customWidth="1" min="14" max="14"/>
    <col width="13" customWidth="1" min="15" max="15"/>
    <col width="16" customWidth="1" min="16" max="16"/>
    <col width="16" customWidth="1" min="17" max="17"/>
    <col width="18" customWidth="1" min="18" max="18"/>
    <col width="14" customWidth="1" min="19" max="19"/>
    <col width="30" customWidth="1" min="20" max="20"/>
    <col width="16" customWidth="1" min="21" max="21"/>
    <col width="34" customWidth="1" min="22" max="22"/>
  </cols>
  <sheetData>
    <row r="1" ht="32" customHeight="1">
      <c r="A1" s="1" t="inlineStr">
        <is>
          <t>UC-COM-04 – Đăng xuất</t>
        </is>
      </c>
    </row>
    <row r="2" ht="30" customHeight="1">
      <c r="A2" s="2" t="inlineStr">
        <is>
          <t>Nguồn: COMMON_SERVICES_TEST_PLAN.md | 7 test case</t>
        </is>
      </c>
    </row>
    <row r="3" ht="38" customHeight="1">
      <c r="A3" s="3" t="inlineStr">
        <is>
          <t>STT</t>
        </is>
      </c>
      <c r="B3" s="3" t="inlineStr">
        <is>
          <t>Test Case ID</t>
        </is>
      </c>
      <c r="C3" s="3" t="inlineStr">
        <is>
          <t>UC ID</t>
        </is>
      </c>
      <c r="D3" s="3" t="inlineStr">
        <is>
          <t>Tên test case</t>
        </is>
      </c>
      <c r="E3" s="3" t="inlineStr">
        <is>
          <t>Priority</t>
        </is>
      </c>
      <c r="F3" s="3" t="inlineStr">
        <is>
          <t>Loại kiểm thử</t>
        </is>
      </c>
      <c r="G3" s="3" t="inlineStr">
        <is>
          <t>Lớp</t>
        </is>
      </c>
      <c r="H3" s="3" t="inlineStr">
        <is>
          <t>Endpoint/API</t>
        </is>
      </c>
      <c r="I3" s="3" t="inlineStr">
        <is>
          <t>Điều kiện trước</t>
        </is>
      </c>
      <c r="J3" s="3" t="inlineStr">
        <is>
          <t>Dữ liệu kiểm thử</t>
        </is>
      </c>
      <c r="K3" s="3" t="inlineStr">
        <is>
          <t>Các bước thực hiện</t>
        </is>
      </c>
      <c r="L3" s="3" t="inlineStr">
        <is>
          <t>Kết quả mong đợi</t>
        </is>
      </c>
      <c r="M3" s="3" t="inlineStr">
        <is>
          <t>Hậu điều kiện cần kiểm tra</t>
        </is>
      </c>
      <c r="N3" s="3" t="inlineStr">
        <is>
          <t>Actual Result</t>
        </is>
      </c>
      <c r="O3" s="3" t="inlineStr">
        <is>
          <t>Status</t>
        </is>
      </c>
      <c r="P3" s="3" t="inlineStr">
        <is>
          <t>Severity nếu lỗi</t>
        </is>
      </c>
      <c r="Q3" s="3" t="inlineStr">
        <is>
          <t>Defect ID</t>
        </is>
      </c>
      <c r="R3" s="3" t="inlineStr">
        <is>
          <t>Tester</t>
        </is>
      </c>
      <c r="S3" s="3" t="inlineStr">
        <is>
          <t>Ngày chạy</t>
        </is>
      </c>
      <c r="T3" s="3" t="inlineStr">
        <is>
          <t>Evidence/Link</t>
        </is>
      </c>
      <c r="U3" s="3" t="inlineStr">
        <is>
          <t>Automation</t>
        </is>
      </c>
      <c r="V3" s="3" t="inlineStr">
        <is>
          <t>Ghi chú</t>
        </is>
      </c>
    </row>
    <row r="4" ht="132" customHeight="1">
      <c r="A4" s="4" t="n">
        <v>1</v>
      </c>
      <c r="B4" s="14" t="inlineStr">
        <is>
          <t>COM04-01</t>
        </is>
      </c>
      <c r="C4" s="4" t="inlineStr">
        <is>
          <t>UC-COM-04</t>
        </is>
      </c>
      <c r="D4" s="4" t="inlineStr">
        <is>
          <t>Đăng xuất với access và refresh của cùng session S1</t>
        </is>
      </c>
      <c r="E4" s="15" t="inlineStr">
        <is>
          <t>P0</t>
        </is>
      </c>
      <c r="F4" s="4" t="inlineStr">
        <is>
          <t>Functional</t>
        </is>
      </c>
      <c r="G4" s="4" t="inlineStr">
        <is>
          <t>API + UI/E2E</t>
        </is>
      </c>
      <c r="H4" s="4" t="inlineStr">
        <is>
          <t>POST /api/v1/common/auth/logout/</t>
        </is>
      </c>
      <c r="I4" s="4" t="inlineStr">
        <is>
          <t>U3 đã đăng nhập; tạo S1 và S2 khi test case kiểm tra đa thiết bị.</t>
        </is>
      </c>
      <c r="J4" s="4" t="inlineStr">
        <is>
          <t>user=U3; sessions=S1,S2; access/refresh token tách biệt</t>
        </is>
      </c>
      <c r="K4" s="4" t="inlineStr">
        <is>
          <t>1. Chuẩn bị dữ liệu đúng mục 'Điều kiện trước' và ghi lại các ID ban đầu.
2. Đăng nhập bằng đúng actor/role và chọn company/branch theo điều kiện trước.
3. Thực hiện kịch bản: Đăng xuất với access và refresh của cùng session S1.
4. Ghi lại HTTP status, response body và thông báo/điều hướng trên UI (nếu có).
5. Dùng lại access/refresh của S1 và S2 để xác nhận đúng session bị thu hồi.
6. So sánh toàn bộ kết quả với cột 'Kết quả mong đợi' và đính kèm evidence nếu Fail/Blocked.</t>
        </is>
      </c>
      <c r="L4" s="4" t="inlineStr">
        <is>
          <t>204; S1 revoked/refresh blacklisted; access S1 không gọi API được nữa</t>
        </is>
      </c>
      <c r="M4" s="4" t="inlineStr">
        <is>
          <t>Chỉ đúng session mục tiêu bị revoked/blacklisted.</t>
        </is>
      </c>
      <c r="N4" s="4" t="inlineStr"/>
      <c r="O4" s="16" t="inlineStr">
        <is>
          <t>Not Run</t>
        </is>
      </c>
      <c r="P4" s="4" t="inlineStr"/>
      <c r="Q4" s="4" t="inlineStr"/>
      <c r="R4" s="4" t="inlineStr"/>
      <c r="S4" s="4" t="inlineStr"/>
      <c r="T4" s="4" t="inlineStr"/>
      <c r="U4" s="4" t="inlineStr">
        <is>
          <t>Candidate</t>
        </is>
      </c>
      <c r="V4" s="4" t="inlineStr"/>
    </row>
    <row r="5" ht="132" customHeight="1">
      <c r="A5" s="5" t="n">
        <v>2</v>
      </c>
      <c r="B5" s="17" t="inlineStr">
        <is>
          <t>COM04-02</t>
        </is>
      </c>
      <c r="C5" s="5" t="inlineStr">
        <is>
          <t>UC-COM-04</t>
        </is>
      </c>
      <c r="D5" s="5" t="inlineStr">
        <is>
          <t>Sau khi logout S1, dùng S2 của cùng user</t>
        </is>
      </c>
      <c r="E5" s="15" t="inlineStr">
        <is>
          <t>P0</t>
        </is>
      </c>
      <c r="F5" s="5" t="inlineStr">
        <is>
          <t>Functional</t>
        </is>
      </c>
      <c r="G5" s="5" t="inlineStr">
        <is>
          <t>API + UI/E2E</t>
        </is>
      </c>
      <c r="H5" s="5" t="inlineStr">
        <is>
          <t>POST /api/v1/common/auth/logout/</t>
        </is>
      </c>
      <c r="I5" s="5" t="inlineStr">
        <is>
          <t>U3 đã đăng nhập; tạo S1 và S2 khi test case kiểm tra đa thiết bị.</t>
        </is>
      </c>
      <c r="J5" s="5" t="inlineStr">
        <is>
          <t>user=U3; sessions=S1,S2; access/refresh token tách biệt</t>
        </is>
      </c>
      <c r="K5" s="5" t="inlineStr">
        <is>
          <t>1. Chuẩn bị dữ liệu đúng mục 'Điều kiện trước' và ghi lại các ID ban đầu.
2. Đăng nhập bằng đúng actor/role và chọn company/branch theo điều kiện trước.
3. Thực hiện kịch bản: Sau khi logout S1, dùng S2 của cùng user.
4. Ghi lại HTTP status, response body và thông báo/điều hướng trên UI (nếu có).
5. Dùng lại access/refresh của S1 và S2 để xác nhận đúng session bị thu hồi.
6. So sánh toàn bộ kết quả với cột 'Kết quả mong đợi' và đính kèm evidence nếu Fail/Blocked.</t>
        </is>
      </c>
      <c r="L5" s="5" t="inlineStr">
        <is>
          <t>S2 vẫn hoạt động bình thường</t>
        </is>
      </c>
      <c r="M5" s="5" t="inlineStr">
        <is>
          <t>Chỉ đúng session mục tiêu bị revoked/blacklisted.</t>
        </is>
      </c>
      <c r="N5" s="5" t="inlineStr"/>
      <c r="O5" s="18" t="inlineStr">
        <is>
          <t>Not Run</t>
        </is>
      </c>
      <c r="P5" s="5" t="inlineStr"/>
      <c r="Q5" s="5" t="inlineStr"/>
      <c r="R5" s="5" t="inlineStr"/>
      <c r="S5" s="5" t="inlineStr"/>
      <c r="T5" s="5" t="inlineStr"/>
      <c r="U5" s="5" t="inlineStr">
        <is>
          <t>Candidate</t>
        </is>
      </c>
      <c r="V5" s="5" t="inlineStr"/>
    </row>
    <row r="6" ht="132" customHeight="1">
      <c r="A6" s="4" t="n">
        <v>3</v>
      </c>
      <c r="B6" s="14" t="inlineStr">
        <is>
          <t>COM04-03</t>
        </is>
      </c>
      <c r="C6" s="4" t="inlineStr">
        <is>
          <t>UC-COM-04</t>
        </is>
      </c>
      <c r="D6" s="4" t="inlineStr">
        <is>
          <t>Logout không gửi refresh</t>
        </is>
      </c>
      <c r="E6" s="15" t="inlineStr">
        <is>
          <t>P0</t>
        </is>
      </c>
      <c r="F6" s="4" t="inlineStr">
        <is>
          <t>Functional</t>
        </is>
      </c>
      <c r="G6" s="4" t="inlineStr">
        <is>
          <t>API + UI/E2E</t>
        </is>
      </c>
      <c r="H6" s="4" t="inlineStr">
        <is>
          <t>POST /api/v1/common/auth/logout/</t>
        </is>
      </c>
      <c r="I6" s="4" t="inlineStr">
        <is>
          <t>U3 đã đăng nhập; tạo S1 và S2 khi test case kiểm tra đa thiết bị.</t>
        </is>
      </c>
      <c r="J6" s="4" t="inlineStr">
        <is>
          <t>user=U3; sessions=S1,S2; access/refresh token tách biệt</t>
        </is>
      </c>
      <c r="K6" s="4" t="inlineStr">
        <is>
          <t>1. Chuẩn bị dữ liệu đúng mục 'Điều kiện trước' và ghi lại các ID ban đầu.
2. Đăng nhập bằng đúng actor/role và chọn company/branch theo điều kiện trước.
3. Thực hiện kịch bản: Logout không gửi refresh.
4. Ghi lại HTTP status, response body và thông báo/điều hướng trên UI (nếu có).
5. Dùng lại access/refresh của S1 và S2 để xác nhận đúng session bị thu hồi.
6. So sánh toàn bộ kết quả với cột 'Kết quả mong đợi' và đính kèm evidence nếu Fail/Blocked.</t>
        </is>
      </c>
      <c r="L6" s="4" t="inlineStr">
        <is>
          <t>Session theo sid của access vẫn bị revoke</t>
        </is>
      </c>
      <c r="M6" s="4" t="inlineStr">
        <is>
          <t>Chỉ đúng session mục tiêu bị revoked/blacklisted.</t>
        </is>
      </c>
      <c r="N6" s="4" t="inlineStr"/>
      <c r="O6" s="16" t="inlineStr">
        <is>
          <t>Not Run</t>
        </is>
      </c>
      <c r="P6" s="4" t="inlineStr"/>
      <c r="Q6" s="4" t="inlineStr"/>
      <c r="R6" s="4" t="inlineStr"/>
      <c r="S6" s="4" t="inlineStr"/>
      <c r="T6" s="4" t="inlineStr"/>
      <c r="U6" s="4" t="inlineStr">
        <is>
          <t>Candidate</t>
        </is>
      </c>
      <c r="V6" s="4" t="inlineStr"/>
    </row>
    <row r="7" ht="132" customHeight="1">
      <c r="A7" s="5" t="n">
        <v>4</v>
      </c>
      <c r="B7" s="17" t="inlineStr">
        <is>
          <t>COM04-04</t>
        </is>
      </c>
      <c r="C7" s="5" t="inlineStr">
        <is>
          <t>UC-COM-04</t>
        </is>
      </c>
      <c r="D7" s="5" t="inlineStr">
        <is>
          <t>Gửi refresh của session khác cùng user</t>
        </is>
      </c>
      <c r="E7" s="15" t="inlineStr">
        <is>
          <t>P0</t>
        </is>
      </c>
      <c r="F7" s="5" t="inlineStr">
        <is>
          <t>Functional</t>
        </is>
      </c>
      <c r="G7" s="5" t="inlineStr">
        <is>
          <t>API + UI/E2E</t>
        </is>
      </c>
      <c r="H7" s="5" t="inlineStr">
        <is>
          <t>POST /api/v1/common/auth/logout/</t>
        </is>
      </c>
      <c r="I7" s="5" t="inlineStr">
        <is>
          <t>U3 đã đăng nhập; tạo S1 và S2 khi test case kiểm tra đa thiết bị.</t>
        </is>
      </c>
      <c r="J7" s="5" t="inlineStr">
        <is>
          <t>user=U3; sessions=S1,S2; access/refresh token tách biệt</t>
        </is>
      </c>
      <c r="K7" s="5" t="inlineStr">
        <is>
          <t>1. Chuẩn bị dữ liệu đúng mục 'Điều kiện trước' và ghi lại các ID ban đầu.
2. Đăng nhập bằng đúng actor/role và chọn company/branch theo điều kiện trước.
3. Thực hiện kịch bản: Gửi refresh của session khác cùng user.
4. Ghi lại HTTP status, response body và thông báo/điều hướng trên UI (nếu có).
5. Dùng lại access/refresh của S1 và S2 để xác nhận đúng session bị thu hồi.
6. So sánh toàn bộ kết quả với cột 'Kết quả mong đợi' và đính kèm evidence nếu Fail/Blocked.</t>
        </is>
      </c>
      <c r="L7" s="5" t="inlineStr">
        <is>
          <t>Không blacklist nhầm session khác; chỉ session hiện tại bị thu hồi</t>
        </is>
      </c>
      <c r="M7" s="5" t="inlineStr">
        <is>
          <t>Chỉ đúng session mục tiêu bị revoked/blacklisted.</t>
        </is>
      </c>
      <c r="N7" s="5" t="inlineStr"/>
      <c r="O7" s="18" t="inlineStr">
        <is>
          <t>Not Run</t>
        </is>
      </c>
      <c r="P7" s="5" t="inlineStr"/>
      <c r="Q7" s="5" t="inlineStr"/>
      <c r="R7" s="5" t="inlineStr"/>
      <c r="S7" s="5" t="inlineStr"/>
      <c r="T7" s="5" t="inlineStr"/>
      <c r="U7" s="5" t="inlineStr">
        <is>
          <t>Candidate</t>
        </is>
      </c>
      <c r="V7" s="5" t="inlineStr"/>
    </row>
    <row r="8" ht="132" customHeight="1">
      <c r="A8" s="4" t="n">
        <v>5</v>
      </c>
      <c r="B8" s="14" t="inlineStr">
        <is>
          <t>COM04-05</t>
        </is>
      </c>
      <c r="C8" s="4" t="inlineStr">
        <is>
          <t>UC-COM-04</t>
        </is>
      </c>
      <c r="D8" s="4" t="inlineStr">
        <is>
          <t>Refresh sai định dạng/đã blacklist trong body</t>
        </is>
      </c>
      <c r="E8" s="19" t="inlineStr">
        <is>
          <t>P1</t>
        </is>
      </c>
      <c r="F8" s="4" t="inlineStr">
        <is>
          <t>Functional</t>
        </is>
      </c>
      <c r="G8" s="4" t="inlineStr">
        <is>
          <t>API + UI/E2E</t>
        </is>
      </c>
      <c r="H8" s="4" t="inlineStr">
        <is>
          <t>POST /api/v1/common/auth/logout/</t>
        </is>
      </c>
      <c r="I8" s="4" t="inlineStr">
        <is>
          <t>U3 đã đăng nhập; tạo S1 và S2 khi test case kiểm tra đa thiết bị.</t>
        </is>
      </c>
      <c r="J8" s="4" t="inlineStr">
        <is>
          <t>user=U3; sessions=S1,S2; access/refresh token tách biệt
Bổ sung: AI stub hỗ trợ success, timeout, HTTP 500, invalid JSON và oversized response</t>
        </is>
      </c>
      <c r="K8" s="4" t="inlineStr">
        <is>
          <t>1. Chuẩn bị dữ liệu đúng mục 'Điều kiện trước' và ghi lại các ID ban đầu.
2. Đăng nhập bằng đúng actor/role và chọn company/branch theo điều kiện trước.
3. Thực hiện kịch bản: Refresh sai định dạng/đã blacklist trong body.
4. Ghi lại HTTP status, response body và thông báo/điều hướng trên UI (nếu có).
5. Dùng lại access/refresh của S1 và S2 để xác nhận đúng session bị thu hồi.
6. So sánh toàn bộ kết quả với cột 'Kết quả mong đợi' và đính kèm evidence nếu Fail/Blocked.</t>
        </is>
      </c>
      <c r="L8" s="4" t="inlineStr">
        <is>
          <t>Logout vẫn an toàn và idempotent, không phát sinh lỗi 5xx</t>
        </is>
      </c>
      <c r="M8" s="4" t="inlineStr">
        <is>
          <t>Chỉ đúng session mục tiêu bị revoked/blacklisted.</t>
        </is>
      </c>
      <c r="N8" s="4" t="inlineStr"/>
      <c r="O8" s="16" t="inlineStr">
        <is>
          <t>Not Run</t>
        </is>
      </c>
      <c r="P8" s="4" t="inlineStr"/>
      <c r="Q8" s="4" t="inlineStr"/>
      <c r="R8" s="4" t="inlineStr"/>
      <c r="S8" s="4" t="inlineStr"/>
      <c r="T8" s="4" t="inlineStr"/>
      <c r="U8" s="4" t="inlineStr">
        <is>
          <t>Candidate</t>
        </is>
      </c>
      <c r="V8" s="4" t="inlineStr"/>
    </row>
    <row r="9" ht="132" customHeight="1">
      <c r="A9" s="5" t="n">
        <v>6</v>
      </c>
      <c r="B9" s="17" t="inlineStr">
        <is>
          <t>COM04-06</t>
        </is>
      </c>
      <c r="C9" s="5" t="inlineStr">
        <is>
          <t>UC-COM-04</t>
        </is>
      </c>
      <c r="D9" s="5" t="inlineStr">
        <is>
          <t>Không có access token hoặc access đã hết hạn</t>
        </is>
      </c>
      <c r="E9" s="15" t="inlineStr">
        <is>
          <t>P0</t>
        </is>
      </c>
      <c r="F9" s="5" t="inlineStr">
        <is>
          <t>Functional</t>
        </is>
      </c>
      <c r="G9" s="5" t="inlineStr">
        <is>
          <t>API + UI/E2E</t>
        </is>
      </c>
      <c r="H9" s="5" t="inlineStr">
        <is>
          <t>POST /api/v1/common/auth/logout/</t>
        </is>
      </c>
      <c r="I9" s="5" t="inlineStr">
        <is>
          <t>U3 đã đăng nhập; tạo S1 và S2 khi test case kiểm tra đa thiết bị.</t>
        </is>
      </c>
      <c r="J9" s="5" t="inlineStr">
        <is>
          <t>user=U3; sessions=S1,S2; access/refresh token tách biệt
Bổ sung: Điều chỉnh expires_at về quá khứ bằng fixture/admin test</t>
        </is>
      </c>
      <c r="K9" s="5" t="inlineStr">
        <is>
          <t>1. Chuẩn bị dữ liệu đúng mục 'Điều kiện trước' và ghi lại các ID ban đầu.
2. Đăng nhập bằng đúng actor/role và chọn company/branch theo điều kiện trước.
3. Thực hiện kịch bản: Không có access token hoặc access đã hết hạn.
4. Ghi lại HTTP status, response body và thông báo/điều hướng trên UI (nếu có).
5. Dùng lại access/refresh của S1 và S2 để xác nhận đúng session bị thu hồi.
6. So sánh toàn bộ kết quả với cột 'Kết quả mong đợi' và đính kèm evidence nếu Fail/Blocked.</t>
        </is>
      </c>
      <c r="L9" s="5" t="inlineStr">
        <is>
          <t>401; không tác động session của user khác</t>
        </is>
      </c>
      <c r="M9" s="5" t="inlineStr">
        <is>
          <t>Chỉ đúng session mục tiêu bị revoked/blacklisted.</t>
        </is>
      </c>
      <c r="N9" s="5" t="inlineStr"/>
      <c r="O9" s="18" t="inlineStr">
        <is>
          <t>Not Run</t>
        </is>
      </c>
      <c r="P9" s="5" t="inlineStr"/>
      <c r="Q9" s="5" t="inlineStr"/>
      <c r="R9" s="5" t="inlineStr"/>
      <c r="S9" s="5" t="inlineStr"/>
      <c r="T9" s="5" t="inlineStr"/>
      <c r="U9" s="5" t="inlineStr">
        <is>
          <t>Candidate</t>
        </is>
      </c>
      <c r="V9" s="5" t="inlineStr"/>
    </row>
    <row r="10" ht="132" customHeight="1">
      <c r="A10" s="4" t="n">
        <v>7</v>
      </c>
      <c r="B10" s="14" t="inlineStr">
        <is>
          <t>COM04-07</t>
        </is>
      </c>
      <c r="C10" s="4" t="inlineStr">
        <is>
          <t>UC-COM-04</t>
        </is>
      </c>
      <c r="D10" s="4" t="inlineStr">
        <is>
          <t>Gọi logout lặp lại</t>
        </is>
      </c>
      <c r="E10" s="19" t="inlineStr">
        <is>
          <t>P1</t>
        </is>
      </c>
      <c r="F10" s="4" t="inlineStr">
        <is>
          <t>Concurrency/Idempotency</t>
        </is>
      </c>
      <c r="G10" s="4" t="inlineStr">
        <is>
          <t>Integration</t>
        </is>
      </c>
      <c r="H10" s="4" t="inlineStr">
        <is>
          <t>POST /api/v1/common/auth/logout/</t>
        </is>
      </c>
      <c r="I10" s="4" t="inlineStr">
        <is>
          <t>U3 đã đăng nhập; tạo S1 và S2 khi test case kiểm tra đa thiết bị.</t>
        </is>
      </c>
      <c r="J10" s="4" t="inlineStr">
        <is>
          <t>user=U3; sessions=S1,S2; access/refresh token tách biệt</t>
        </is>
      </c>
      <c r="K10" s="4" t="inlineStr">
        <is>
          <t>1. Chuẩn bị dữ liệu đúng mục 'Điều kiện trước' và ghi lại các ID ban đầu.
2. Đăng nhập bằng đúng actor/role và chọn company/branch theo điều kiện trước.
3. Thực hiện kịch bản: Gọi logout lặp lại.
4. Ghi lại HTTP status, response body và thông báo/điều hướng trên UI (nếu có).
5. Dùng lại access/refresh của S1 và S2 để xác nhận đúng session bị thu hồi.
6. So sánh toàn bộ kết quả với cột 'Kết quả mong đợi' và đính kèm evidence nếu Fail/Blocked.</t>
        </is>
      </c>
      <c r="L10" s="4" t="inlineStr">
        <is>
          <t>Không tạo side effect nguy hiểm; token tiếp tục không dùng được</t>
        </is>
      </c>
      <c r="M10" s="4" t="inlineStr">
        <is>
          <t>Chỉ đúng session mục tiêu bị revoked/blacklisted.</t>
        </is>
      </c>
      <c r="N10" s="4" t="inlineStr"/>
      <c r="O10" s="16" t="inlineStr">
        <is>
          <t>Not Run</t>
        </is>
      </c>
      <c r="P10" s="4" t="inlineStr"/>
      <c r="Q10" s="4" t="inlineStr"/>
      <c r="R10" s="4" t="inlineStr"/>
      <c r="S10" s="4" t="inlineStr"/>
      <c r="T10" s="4" t="inlineStr"/>
      <c r="U10" s="4" t="inlineStr">
        <is>
          <t>Candidate</t>
        </is>
      </c>
      <c r="V10" s="4" t="inlineStr"/>
    </row>
  </sheetData>
  <autoFilter ref="A3:V10"/>
  <mergeCells count="2">
    <mergeCell ref="A2:V2"/>
    <mergeCell ref="A1:V1"/>
  </mergeCells>
  <conditionalFormatting sqref="O4:O10">
    <cfRule type="expression" priority="1" dxfId="0">
      <formula>$O4="Pass"</formula>
    </cfRule>
    <cfRule type="expression" priority="2" dxfId="1">
      <formula>$O4="Fail"</formula>
    </cfRule>
    <cfRule type="expression" priority="3" dxfId="2">
      <formula>$O4="Blocked"</formula>
    </cfRule>
    <cfRule type="expression" priority="4" dxfId="3">
      <formula>$O4="N/A"</formula>
    </cfRule>
  </conditionalFormatting>
  <dataValidations count="3">
    <dataValidation sqref="O4:O10" showDropDown="0" showInputMessage="0" showErrorMessage="0" allowBlank="1" type="list">
      <formula1>"Not Run,Pass,Fail,Blocked,N/A"</formula1>
    </dataValidation>
    <dataValidation sqref="P4:P10" showDropDown="0" showInputMessage="0" showErrorMessage="0" allowBlank="1" type="list">
      <formula1>"S1 Critical,S2 High,S3 Medium,S4 Low"</formula1>
    </dataValidation>
    <dataValidation sqref="U4:U10" showDropDown="0" showInputMessage="0" showErrorMessage="0" allowBlank="1" type="list">
      <formula1>"Manual,Automated,Candidate,Not Applicable"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14"/>
  <sheetViews>
    <sheetView showGridLines="0"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4" customWidth="1" min="2" max="2"/>
    <col width="14" customWidth="1" min="3" max="3"/>
    <col width="42" customWidth="1" min="4" max="4"/>
    <col width="10" customWidth="1" min="5" max="5"/>
    <col width="23" customWidth="1" min="6" max="6"/>
    <col width="18" customWidth="1" min="7" max="7"/>
    <col width="50" customWidth="1" min="8" max="8"/>
    <col width="48" customWidth="1" min="9" max="9"/>
    <col width="50" customWidth="1" min="10" max="10"/>
    <col width="70" customWidth="1" min="11" max="11"/>
    <col width="62" customWidth="1" min="12" max="12"/>
    <col width="46" customWidth="1" min="13" max="13"/>
    <col width="50" customWidth="1" min="14" max="14"/>
    <col width="13" customWidth="1" min="15" max="15"/>
    <col width="16" customWidth="1" min="16" max="16"/>
    <col width="16" customWidth="1" min="17" max="17"/>
    <col width="18" customWidth="1" min="18" max="18"/>
    <col width="14" customWidth="1" min="19" max="19"/>
    <col width="30" customWidth="1" min="20" max="20"/>
    <col width="16" customWidth="1" min="21" max="21"/>
    <col width="34" customWidth="1" min="22" max="22"/>
  </cols>
  <sheetData>
    <row r="1" ht="32" customHeight="1">
      <c r="A1" s="1" t="inlineStr">
        <is>
          <t>UC-COM-05 – Quên và đặt lại mật khẩu</t>
        </is>
      </c>
    </row>
    <row r="2" ht="30" customHeight="1">
      <c r="A2" s="2" t="inlineStr">
        <is>
          <t>Nguồn: COMMON_SERVICES_TEST_PLAN.md | 11 test case</t>
        </is>
      </c>
    </row>
    <row r="3" ht="38" customHeight="1">
      <c r="A3" s="3" t="inlineStr">
        <is>
          <t>STT</t>
        </is>
      </c>
      <c r="B3" s="3" t="inlineStr">
        <is>
          <t>Test Case ID</t>
        </is>
      </c>
      <c r="C3" s="3" t="inlineStr">
        <is>
          <t>UC ID</t>
        </is>
      </c>
      <c r="D3" s="3" t="inlineStr">
        <is>
          <t>Tên test case</t>
        </is>
      </c>
      <c r="E3" s="3" t="inlineStr">
        <is>
          <t>Priority</t>
        </is>
      </c>
      <c r="F3" s="3" t="inlineStr">
        <is>
          <t>Loại kiểm thử</t>
        </is>
      </c>
      <c r="G3" s="3" t="inlineStr">
        <is>
          <t>Lớp</t>
        </is>
      </c>
      <c r="H3" s="3" t="inlineStr">
        <is>
          <t>Endpoint/API</t>
        </is>
      </c>
      <c r="I3" s="3" t="inlineStr">
        <is>
          <t>Điều kiện trước</t>
        </is>
      </c>
      <c r="J3" s="3" t="inlineStr">
        <is>
          <t>Dữ liệu kiểm thử</t>
        </is>
      </c>
      <c r="K3" s="3" t="inlineStr">
        <is>
          <t>Các bước thực hiện</t>
        </is>
      </c>
      <c r="L3" s="3" t="inlineStr">
        <is>
          <t>Kết quả mong đợi</t>
        </is>
      </c>
      <c r="M3" s="3" t="inlineStr">
        <is>
          <t>Hậu điều kiện cần kiểm tra</t>
        </is>
      </c>
      <c r="N3" s="3" t="inlineStr">
        <is>
          <t>Actual Result</t>
        </is>
      </c>
      <c r="O3" s="3" t="inlineStr">
        <is>
          <t>Status</t>
        </is>
      </c>
      <c r="P3" s="3" t="inlineStr">
        <is>
          <t>Severity nếu lỗi</t>
        </is>
      </c>
      <c r="Q3" s="3" t="inlineStr">
        <is>
          <t>Defect ID</t>
        </is>
      </c>
      <c r="R3" s="3" t="inlineStr">
        <is>
          <t>Tester</t>
        </is>
      </c>
      <c r="S3" s="3" t="inlineStr">
        <is>
          <t>Ngày chạy</t>
        </is>
      </c>
      <c r="T3" s="3" t="inlineStr">
        <is>
          <t>Evidence/Link</t>
        </is>
      </c>
      <c r="U3" s="3" t="inlineStr">
        <is>
          <t>Automation</t>
        </is>
      </c>
      <c r="V3" s="3" t="inlineStr">
        <is>
          <t>Ghi chú</t>
        </is>
      </c>
    </row>
    <row r="4" ht="132" customHeight="1">
      <c r="A4" s="4" t="n">
        <v>1</v>
      </c>
      <c r="B4" s="14" t="inlineStr">
        <is>
          <t>COM05-01</t>
        </is>
      </c>
      <c r="C4" s="4" t="inlineStr">
        <is>
          <t>UC-COM-05</t>
        </is>
      </c>
      <c r="D4" s="4" t="inlineStr">
        <is>
          <t>Yêu cầu reset bằng email/username của tài khoản active đã verify</t>
        </is>
      </c>
      <c r="E4" s="15" t="inlineStr">
        <is>
          <t>P0</t>
        </is>
      </c>
      <c r="F4" s="4" t="inlineStr">
        <is>
          <t>Functional</t>
        </is>
      </c>
      <c r="G4" s="4" t="inlineStr">
        <is>
          <t>API + UI/E2E</t>
        </is>
      </c>
      <c r="H4" s="4" t="inlineStr">
        <is>
          <t>POST /api/v1/common/auth/forgot-password/
POST /api/v1/common/auth/reset-password/</t>
        </is>
      </c>
      <c r="I4" s="4" t="inlineStr">
        <is>
          <t>Có tài khoản ACTIVE đã verify email; email sandbox hoạt động; tạo nhiều session khi cần.</t>
        </is>
      </c>
      <c r="J4" s="4" t="inlineStr">
        <is>
          <t>identifier=user@example.com; new_password=NewStrongPass!2026
Bổ sung: AI stub hỗ trợ success, timeout, HTTP 500, invalid JSON và oversized response</t>
        </is>
      </c>
      <c r="K4" s="4" t="inlineStr">
        <is>
          <t>1. Chuẩn bị dữ liệu đúng mục 'Điều kiện trước' và ghi lại các ID ban đầu.
2. Mở màn hình/API tương ứng ở trạng thái chưa xác thực, trừ khi kịch bản yêu cầu session có sẵn.
3. Thực hiện kịch bản: Yêu cầu reset bằng email/username của tài khoản active đã verify.
4. Ghi lại HTTP status, response body và thông báo/điều hướng trên UI (nếu có).
5. Kiểm tra challenge/email, password mới/cũ và hiệu lực của toàn bộ session/token cũ.
6. So sánh toàn bộ kết quả với cột 'Kết quả mong đợi' và đính kèm evidence nếu Fail/Blocked.</t>
        </is>
      </c>
      <c r="L4" s="4" t="inlineStr">
        <is>
          <t>Luôn 202; tạo challenge PASSWORD_RESET và gửi OTP tới email đã verify</t>
        </is>
      </c>
      <c r="M4" s="4" t="inlineStr">
        <is>
          <t>Challenge consumed đúng lúc; password/session state nhất quán.</t>
        </is>
      </c>
      <c r="N4" s="4" t="inlineStr"/>
      <c r="O4" s="16" t="inlineStr">
        <is>
          <t>Not Run</t>
        </is>
      </c>
      <c r="P4" s="4" t="inlineStr"/>
      <c r="Q4" s="4" t="inlineStr"/>
      <c r="R4" s="4" t="inlineStr"/>
      <c r="S4" s="4" t="inlineStr"/>
      <c r="T4" s="4" t="inlineStr"/>
      <c r="U4" s="4" t="inlineStr">
        <is>
          <t>Candidate</t>
        </is>
      </c>
      <c r="V4" s="4" t="inlineStr"/>
    </row>
    <row r="5" ht="132" customHeight="1">
      <c r="A5" s="5" t="n">
        <v>2</v>
      </c>
      <c r="B5" s="17" t="inlineStr">
        <is>
          <t>COM05-02</t>
        </is>
      </c>
      <c r="C5" s="5" t="inlineStr">
        <is>
          <t>UC-COM-05</t>
        </is>
      </c>
      <c r="D5" s="5" t="inlineStr">
        <is>
          <t>Identifier không tồn tại, inactive hoặc chưa verify</t>
        </is>
      </c>
      <c r="E5" s="15" t="inlineStr">
        <is>
          <t>P0</t>
        </is>
      </c>
      <c r="F5" s="5" t="inlineStr">
        <is>
          <t>Functional</t>
        </is>
      </c>
      <c r="G5" s="5" t="inlineStr">
        <is>
          <t>API + UI/E2E</t>
        </is>
      </c>
      <c r="H5" s="5" t="inlineStr">
        <is>
          <t>POST /api/v1/common/auth/forgot-password/
POST /api/v1/common/auth/reset-password/</t>
        </is>
      </c>
      <c r="I5" s="5" t="inlineStr">
        <is>
          <t>Có tài khoản ACTIVE đã verify email; email sandbox hoạt động; tạo nhiều session khi cần.</t>
        </is>
      </c>
      <c r="J5" s="5" t="inlineStr">
        <is>
          <t>identifier=user@example.com; new_password=NewStrongPass!2026</t>
        </is>
      </c>
      <c r="K5" s="5" t="inlineStr">
        <is>
          <t>1. Chuẩn bị dữ liệu đúng mục 'Điều kiện trước' và ghi lại các ID ban đầu.
2. Mở màn hình/API tương ứng ở trạng thái chưa xác thực, trừ khi kịch bản yêu cầu session có sẵn.
3. Thực hiện kịch bản: Identifier không tồn tại, inactive hoặc chưa verify.
4. Ghi lại HTTP status, response body và thông báo/điều hướng trên UI (nếu có).
5. Kiểm tra challenge/email, password mới/cũ và hiệu lực của toàn bộ session/token cũ.
6. So sánh toàn bộ kết quả với cột 'Kết quả mong đợi' và đính kèm evidence nếu Fail/Blocked.</t>
        </is>
      </c>
      <c r="L5" s="5" t="inlineStr">
        <is>
          <t>Cùng status/response shape/thời gian gần tương đương; không gửi email; không lộ account existence</t>
        </is>
      </c>
      <c r="M5" s="5" t="inlineStr">
        <is>
          <t>Challenge consumed đúng lúc; password/session state nhất quán.</t>
        </is>
      </c>
      <c r="N5" s="5" t="inlineStr"/>
      <c r="O5" s="18" t="inlineStr">
        <is>
          <t>Not Run</t>
        </is>
      </c>
      <c r="P5" s="5" t="inlineStr"/>
      <c r="Q5" s="5" t="inlineStr"/>
      <c r="R5" s="5" t="inlineStr"/>
      <c r="S5" s="5" t="inlineStr"/>
      <c r="T5" s="5" t="inlineStr"/>
      <c r="U5" s="5" t="inlineStr">
        <is>
          <t>Candidate</t>
        </is>
      </c>
      <c r="V5" s="5" t="inlineStr"/>
    </row>
    <row r="6" ht="132" customHeight="1">
      <c r="A6" s="4" t="n">
        <v>3</v>
      </c>
      <c r="B6" s="14" t="inlineStr">
        <is>
          <t>COM05-03</t>
        </is>
      </c>
      <c r="C6" s="4" t="inlineStr">
        <is>
          <t>UC-COM-05</t>
        </is>
      </c>
      <c r="D6" s="4" t="inlineStr">
        <is>
          <t>Yêu cầu lại trong cooldown</t>
        </is>
      </c>
      <c r="E6" s="19" t="inlineStr">
        <is>
          <t>P1</t>
        </is>
      </c>
      <c r="F6" s="4" t="inlineStr">
        <is>
          <t>Functional</t>
        </is>
      </c>
      <c r="G6" s="4" t="inlineStr">
        <is>
          <t>API + UI/E2E</t>
        </is>
      </c>
      <c r="H6" s="4" t="inlineStr">
        <is>
          <t>POST /api/v1/common/auth/forgot-password/
POST /api/v1/common/auth/reset-password/</t>
        </is>
      </c>
      <c r="I6" s="4" t="inlineStr">
        <is>
          <t>Có tài khoản ACTIVE đã verify email; email sandbox hoạt động; tạo nhiều session khi cần.</t>
        </is>
      </c>
      <c r="J6" s="4" t="inlineStr">
        <is>
          <t>identifier=user@example.com; new_password=NewStrongPass!2026</t>
        </is>
      </c>
      <c r="K6" s="4" t="inlineStr">
        <is>
          <t>1. Chuẩn bị dữ liệu đúng mục 'Điều kiện trước' và ghi lại các ID ban đầu.
2. Mở màn hình/API tương ứng ở trạng thái chưa xác thực, trừ khi kịch bản yêu cầu session có sẵn.
3. Thực hiện kịch bản: Yêu cầu lại trong cooldown.
4. Ghi lại HTTP status, response body và thông báo/điều hướng trên UI (nếu có).
5. Kiểm tra challenge/email, password mới/cũ và hiệu lực của toàn bộ session/token cũ.
6. So sánh toàn bộ kết quả với cột 'Kết quả mong đợi' và đính kèm evidence nếu Fail/Blocked.</t>
        </is>
      </c>
      <c r="L6" s="4" t="inlineStr">
        <is>
          <t>Bị hạn chế theo quy tắc; không tạo nhiều OTP còn hiệu lực</t>
        </is>
      </c>
      <c r="M6" s="4" t="inlineStr">
        <is>
          <t>Challenge consumed đúng lúc; password/session state nhất quán.</t>
        </is>
      </c>
      <c r="N6" s="4" t="inlineStr"/>
      <c r="O6" s="16" t="inlineStr">
        <is>
          <t>Not Run</t>
        </is>
      </c>
      <c r="P6" s="4" t="inlineStr"/>
      <c r="Q6" s="4" t="inlineStr"/>
      <c r="R6" s="4" t="inlineStr"/>
      <c r="S6" s="4" t="inlineStr"/>
      <c r="T6" s="4" t="inlineStr"/>
      <c r="U6" s="4" t="inlineStr">
        <is>
          <t>Candidate</t>
        </is>
      </c>
      <c r="V6" s="4" t="inlineStr"/>
    </row>
    <row r="7" ht="132" customHeight="1">
      <c r="A7" s="5" t="n">
        <v>4</v>
      </c>
      <c r="B7" s="17" t="inlineStr">
        <is>
          <t>COM05-04</t>
        </is>
      </c>
      <c r="C7" s="5" t="inlineStr">
        <is>
          <t>UC-COM-05</t>
        </is>
      </c>
      <c r="D7" s="5" t="inlineStr">
        <is>
          <t>Reset với OTP đúng và mật khẩu mạnh</t>
        </is>
      </c>
      <c r="E7" s="15" t="inlineStr">
        <is>
          <t>P0</t>
        </is>
      </c>
      <c r="F7" s="5" t="inlineStr">
        <is>
          <t>Functional</t>
        </is>
      </c>
      <c r="G7" s="5" t="inlineStr">
        <is>
          <t>API + UI/E2E</t>
        </is>
      </c>
      <c r="H7" s="5" t="inlineStr">
        <is>
          <t>POST /api/v1/common/auth/forgot-password/
POST /api/v1/common/auth/reset-password/</t>
        </is>
      </c>
      <c r="I7" s="5" t="inlineStr">
        <is>
          <t>Có tài khoản ACTIVE đã verify email; email sandbox hoạt động; tạo nhiều session khi cần.</t>
        </is>
      </c>
      <c r="J7" s="5" t="inlineStr">
        <is>
          <t>identifier=user@example.com; new_password=NewStrongPass!2026
Bổ sung: OTP đúng: lấy từ email sandbox; OTP sai: 000000; challenge UUID từ response</t>
        </is>
      </c>
      <c r="K7" s="5" t="inlineStr">
        <is>
          <t>1. Chuẩn bị dữ liệu đúng mục 'Điều kiện trước' và ghi lại các ID ban đầu.
2. Mở màn hình/API tương ứng ở trạng thái chưa xác thực, trừ khi kịch bản yêu cầu session có sẵn.
3. Thực hiện kịch bản: Reset với OTP đúng và mật khẩu mạnh.
4. Ghi lại HTTP status, response body và thông báo/điều hướng trên UI (nếu có).
5. Kiểm tra challenge/email, password mới/cũ và hiệu lực của toàn bộ session/token cũ.
6. So sánh toàn bộ kết quả với cột 'Kết quả mong đợi' và đính kèm evidence nếu Fail/Blocked.</t>
        </is>
      </c>
      <c r="L7" s="5" t="inlineStr">
        <is>
          <t>200; đổi password; challenge consumed; reset failed-login/lock state</t>
        </is>
      </c>
      <c r="M7" s="5" t="inlineStr">
        <is>
          <t>Challenge consumed đúng lúc; password/session state nhất quán.</t>
        </is>
      </c>
      <c r="N7" s="5" t="inlineStr"/>
      <c r="O7" s="18" t="inlineStr">
        <is>
          <t>Not Run</t>
        </is>
      </c>
      <c r="P7" s="5" t="inlineStr"/>
      <c r="Q7" s="5" t="inlineStr"/>
      <c r="R7" s="5" t="inlineStr"/>
      <c r="S7" s="5" t="inlineStr"/>
      <c r="T7" s="5" t="inlineStr"/>
      <c r="U7" s="5" t="inlineStr">
        <is>
          <t>Candidate</t>
        </is>
      </c>
      <c r="V7" s="5" t="inlineStr"/>
    </row>
    <row r="8" ht="132" customHeight="1">
      <c r="A8" s="4" t="n">
        <v>5</v>
      </c>
      <c r="B8" s="14" t="inlineStr">
        <is>
          <t>COM05-05</t>
        </is>
      </c>
      <c r="C8" s="4" t="inlineStr">
        <is>
          <t>UC-COM-05</t>
        </is>
      </c>
      <c r="D8" s="4" t="inlineStr">
        <is>
          <t>OTP sai/hết hạn/đã dùng/sai purpose</t>
        </is>
      </c>
      <c r="E8" s="15" t="inlineStr">
        <is>
          <t>P0</t>
        </is>
      </c>
      <c r="F8" s="4" t="inlineStr">
        <is>
          <t>Functional</t>
        </is>
      </c>
      <c r="G8" s="4" t="inlineStr">
        <is>
          <t>API + UI/E2E</t>
        </is>
      </c>
      <c r="H8" s="4" t="inlineStr">
        <is>
          <t>POST /api/v1/common/auth/forgot-password/
POST /api/v1/common/auth/reset-password/</t>
        </is>
      </c>
      <c r="I8" s="4" t="inlineStr">
        <is>
          <t>Có tài khoản ACTIVE đã verify email; email sandbox hoạt động; tạo nhiều session khi cần.</t>
        </is>
      </c>
      <c r="J8" s="4" t="inlineStr">
        <is>
          <t>identifier=user@example.com; new_password=NewStrongPass!2026
Bổ sung: OTP đúng: lấy từ email sandbox; OTP sai: 000000; challenge UUID từ response; Điều chỉnh expires_at về quá khứ bằng fixture/admin test; AI stub hỗ trợ success, timeout, HTTP 500, invalid JSON và oversized response</t>
        </is>
      </c>
      <c r="K8" s="4" t="inlineStr">
        <is>
          <t>1. Chuẩn bị dữ liệu đúng mục 'Điều kiện trước' và ghi lại các ID ban đầu.
2. Mở màn hình/API tương ứng ở trạng thái chưa xác thực, trừ khi kịch bản yêu cầu session có sẵn.
3. Thực hiện kịch bản: OTP sai/hết hạn/đã dùng/sai purpose.
4. Ghi lại HTTP status, response body và thông báo/điều hướng trên UI (nếu có).
5. Kiểm tra challenge/email, password mới/cũ và hiệu lực của toàn bộ session/token cũ.
6. So sánh toàn bộ kết quả với cột 'Kết quả mong đợi' và đính kèm evidence nếu Fail/Blocked.</t>
        </is>
      </c>
      <c r="L8" s="4" t="inlineStr">
        <is>
          <t>400; mật khẩu không đổi; tối đa 5 lần sai</t>
        </is>
      </c>
      <c r="M8" s="4" t="inlineStr">
        <is>
          <t>Challenge consumed đúng lúc; password/session state nhất quán.</t>
        </is>
      </c>
      <c r="N8" s="4" t="inlineStr"/>
      <c r="O8" s="16" t="inlineStr">
        <is>
          <t>Not Run</t>
        </is>
      </c>
      <c r="P8" s="4" t="inlineStr"/>
      <c r="Q8" s="4" t="inlineStr"/>
      <c r="R8" s="4" t="inlineStr"/>
      <c r="S8" s="4" t="inlineStr"/>
      <c r="T8" s="4" t="inlineStr"/>
      <c r="U8" s="4" t="inlineStr">
        <is>
          <t>Candidate</t>
        </is>
      </c>
      <c r="V8" s="4" t="inlineStr"/>
    </row>
    <row r="9" ht="132" customHeight="1">
      <c r="A9" s="5" t="n">
        <v>6</v>
      </c>
      <c r="B9" s="17" t="inlineStr">
        <is>
          <t>COM05-06</t>
        </is>
      </c>
      <c r="C9" s="5" t="inlineStr">
        <is>
          <t>UC-COM-05</t>
        </is>
      </c>
      <c r="D9" s="5" t="inlineStr">
        <is>
          <t>Mật khẩu mới yếu, trùng mật khẩu hiện tại hoặc confirm không khớp</t>
        </is>
      </c>
      <c r="E9" s="19" t="inlineStr">
        <is>
          <t>P1</t>
        </is>
      </c>
      <c r="F9" s="5" t="inlineStr">
        <is>
          <t>Functional</t>
        </is>
      </c>
      <c r="G9" s="5" t="inlineStr">
        <is>
          <t>API + UI/E2E</t>
        </is>
      </c>
      <c r="H9" s="5" t="inlineStr">
        <is>
          <t>POST /api/v1/common/auth/forgot-password/
POST /api/v1/common/auth/reset-password/</t>
        </is>
      </c>
      <c r="I9" s="5" t="inlineStr">
        <is>
          <t>Có tài khoản ACTIVE đã verify email; email sandbox hoạt động; tạo nhiều session khi cần.</t>
        </is>
      </c>
      <c r="J9" s="5" t="inlineStr">
        <is>
          <t>identifier=user@example.com; new_password=NewStrongPass!2026
Bổ sung: Chuẩn bị trước một bản ghi có cùng giá trị cần kiểm tra</t>
        </is>
      </c>
      <c r="K9" s="5" t="inlineStr">
        <is>
          <t>1. Chuẩn bị dữ liệu đúng mục 'Điều kiện trước' và ghi lại các ID ban đầu.
2. Mở màn hình/API tương ứng ở trạng thái chưa xác thực, trừ khi kịch bản yêu cầu session có sẵn.
3. Thực hiện kịch bản: Mật khẩu mới yếu, trùng mật khẩu hiện tại hoặc confirm không khớp.
4. Ghi lại HTTP status, response body và thông báo/điều hướng trên UI (nếu có).
5. Kiểm tra challenge/email, password mới/cũ và hiệu lực của toàn bộ session/token cũ.
6. So sánh toàn bộ kết quả với cột 'Kết quả mong đợi' và đính kèm evidence nếu Fail/Blocked.</t>
        </is>
      </c>
      <c r="L9" s="5" t="inlineStr">
        <is>
          <t>400; challenge/password/session không bị thay đổi sai</t>
        </is>
      </c>
      <c r="M9" s="5" t="inlineStr">
        <is>
          <t>Challenge consumed đúng lúc; password/session state nhất quán.</t>
        </is>
      </c>
      <c r="N9" s="5" t="inlineStr"/>
      <c r="O9" s="18" t="inlineStr">
        <is>
          <t>Not Run</t>
        </is>
      </c>
      <c r="P9" s="5" t="inlineStr"/>
      <c r="Q9" s="5" t="inlineStr"/>
      <c r="R9" s="5" t="inlineStr"/>
      <c r="S9" s="5" t="inlineStr"/>
      <c r="T9" s="5" t="inlineStr"/>
      <c r="U9" s="5" t="inlineStr">
        <is>
          <t>Candidate</t>
        </is>
      </c>
      <c r="V9" s="5" t="inlineStr"/>
    </row>
    <row r="10" ht="132" customHeight="1">
      <c r="A10" s="4" t="n">
        <v>7</v>
      </c>
      <c r="B10" s="14" t="inlineStr">
        <is>
          <t>COM05-07</t>
        </is>
      </c>
      <c r="C10" s="4" t="inlineStr">
        <is>
          <t>UC-COM-05</t>
        </is>
      </c>
      <c r="D10" s="4" t="inlineStr">
        <is>
          <t>Sau reset, kiểm tra mọi access/refresh cũ trên S1/S2</t>
        </is>
      </c>
      <c r="E10" s="15" t="inlineStr">
        <is>
          <t>P0</t>
        </is>
      </c>
      <c r="F10" s="4" t="inlineStr">
        <is>
          <t>Functional</t>
        </is>
      </c>
      <c r="G10" s="4" t="inlineStr">
        <is>
          <t>API + UI/E2E</t>
        </is>
      </c>
      <c r="H10" s="4" t="inlineStr">
        <is>
          <t>POST /api/v1/common/auth/forgot-password/
POST /api/v1/common/auth/reset-password/</t>
        </is>
      </c>
      <c r="I10" s="4" t="inlineStr">
        <is>
          <t>Có tài khoản ACTIVE đã verify email; email sandbox hoạt động; tạo nhiều session khi cần.</t>
        </is>
      </c>
      <c r="J10" s="4" t="inlineStr">
        <is>
          <t>identifier=user@example.com; new_password=NewStrongPass!2026</t>
        </is>
      </c>
      <c r="K10" s="4" t="inlineStr">
        <is>
          <t>1. Chuẩn bị dữ liệu đúng mục 'Điều kiện trước' và ghi lại các ID ban đầu.
2. Mở màn hình/API tương ứng ở trạng thái chưa xác thực, trừ khi kịch bản yêu cầu session có sẵn.
3. Thực hiện kịch bản: Sau reset, kiểm tra mọi access/refresh cũ trên S1/S2.
4. Ghi lại HTTP status, response body và thông báo/điều hướng trên UI (nếu có).
5. Kiểm tra challenge/email, password mới/cũ và hiệu lực của toàn bộ session/token cũ.
6. So sánh toàn bộ kết quả với cột 'Kết quả mong đợi' và đính kèm evidence nếu Fail/Blocked.</t>
        </is>
      </c>
      <c r="L10" s="4" t="inlineStr">
        <is>
          <t>Tất cả session/token cũ bị revoke; mật khẩu cũ đăng nhập thất bại</t>
        </is>
      </c>
      <c r="M10" s="4" t="inlineStr">
        <is>
          <t>Challenge consumed đúng lúc; password/session state nhất quán.</t>
        </is>
      </c>
      <c r="N10" s="4" t="inlineStr"/>
      <c r="O10" s="16" t="inlineStr">
        <is>
          <t>Not Run</t>
        </is>
      </c>
      <c r="P10" s="4" t="inlineStr"/>
      <c r="Q10" s="4" t="inlineStr"/>
      <c r="R10" s="4" t="inlineStr"/>
      <c r="S10" s="4" t="inlineStr"/>
      <c r="T10" s="4" t="inlineStr"/>
      <c r="U10" s="4" t="inlineStr">
        <is>
          <t>Candidate</t>
        </is>
      </c>
      <c r="V10" s="4" t="inlineStr"/>
    </row>
    <row r="11" ht="132" customHeight="1">
      <c r="A11" s="5" t="n">
        <v>8</v>
      </c>
      <c r="B11" s="17" t="inlineStr">
        <is>
          <t>COM05-08</t>
        </is>
      </c>
      <c r="C11" s="5" t="inlineStr">
        <is>
          <t>UC-COM-05</t>
        </is>
      </c>
      <c r="D11" s="5" t="inlineStr">
        <is>
          <t>Đăng nhập bằng mật khẩu mới</t>
        </is>
      </c>
      <c r="E11" s="15" t="inlineStr">
        <is>
          <t>P0</t>
        </is>
      </c>
      <c r="F11" s="5" t="inlineStr">
        <is>
          <t>Functional</t>
        </is>
      </c>
      <c r="G11" s="5" t="inlineStr">
        <is>
          <t>API + UI/E2E</t>
        </is>
      </c>
      <c r="H11" s="5" t="inlineStr">
        <is>
          <t>POST /api/v1/common/auth/forgot-password/
POST /api/v1/common/auth/reset-password/</t>
        </is>
      </c>
      <c r="I11" s="5" t="inlineStr">
        <is>
          <t>Có tài khoản ACTIVE đã verify email; email sandbox hoạt động; tạo nhiều session khi cần.</t>
        </is>
      </c>
      <c r="J11" s="5" t="inlineStr">
        <is>
          <t>identifier=user@example.com; new_password=NewStrongPass!2026</t>
        </is>
      </c>
      <c r="K11" s="5" t="inlineStr">
        <is>
          <t>1. Chuẩn bị dữ liệu đúng mục 'Điều kiện trước' và ghi lại các ID ban đầu.
2. Mở màn hình/API tương ứng ở trạng thái chưa xác thực, trừ khi kịch bản yêu cầu session có sẵn.
3. Thực hiện kịch bản: Đăng nhập bằng mật khẩu mới.
4. Ghi lại HTTP status, response body và thông báo/điều hướng trên UI (nếu có).
5. Kiểm tra challenge/email, password mới/cũ và hiệu lực của toàn bộ session/token cũ.
6. So sánh toàn bộ kết quả với cột 'Kết quả mong đợi' và đính kèm evidence nếu Fail/Blocked.</t>
        </is>
      </c>
      <c r="L11" s="5" t="inlineStr">
        <is>
          <t>Thành công và tạo session mới</t>
        </is>
      </c>
      <c r="M11" s="5" t="inlineStr">
        <is>
          <t>Challenge consumed đúng lúc; password/session state nhất quán.</t>
        </is>
      </c>
      <c r="N11" s="5" t="inlineStr"/>
      <c r="O11" s="18" t="inlineStr">
        <is>
          <t>Not Run</t>
        </is>
      </c>
      <c r="P11" s="5" t="inlineStr"/>
      <c r="Q11" s="5" t="inlineStr"/>
      <c r="R11" s="5" t="inlineStr"/>
      <c r="S11" s="5" t="inlineStr"/>
      <c r="T11" s="5" t="inlineStr"/>
      <c r="U11" s="5" t="inlineStr">
        <is>
          <t>Candidate</t>
        </is>
      </c>
      <c r="V11" s="5" t="inlineStr"/>
    </row>
    <row r="12" ht="132" customHeight="1">
      <c r="A12" s="4" t="n">
        <v>9</v>
      </c>
      <c r="B12" s="14" t="inlineStr">
        <is>
          <t>COM05-09</t>
        </is>
      </c>
      <c r="C12" s="4" t="inlineStr">
        <is>
          <t>UC-COM-05</t>
        </is>
      </c>
      <c r="D12" s="4" t="inlineStr">
        <is>
          <t>Email thông báo sau reset</t>
        </is>
      </c>
      <c r="E12" s="19" t="inlineStr">
        <is>
          <t>P1</t>
        </is>
      </c>
      <c r="F12" s="4" t="inlineStr">
        <is>
          <t>Functional</t>
        </is>
      </c>
      <c r="G12" s="4" t="inlineStr">
        <is>
          <t>API + UI/E2E</t>
        </is>
      </c>
      <c r="H12" s="4" t="inlineStr">
        <is>
          <t>POST /api/v1/common/auth/forgot-password/
POST /api/v1/common/auth/reset-password/</t>
        </is>
      </c>
      <c r="I12" s="4" t="inlineStr">
        <is>
          <t>Có tài khoản ACTIVE đã verify email; email sandbox hoạt động; tạo nhiều session khi cần.</t>
        </is>
      </c>
      <c r="J12" s="4" t="inlineStr">
        <is>
          <t>identifier=user@example.com; new_password=NewStrongPass!2026
Bổ sung: AI stub hỗ trợ success, timeout, HTTP 500, invalid JSON và oversized response</t>
        </is>
      </c>
      <c r="K12" s="4" t="inlineStr">
        <is>
          <t>1. Chuẩn bị dữ liệu đúng mục 'Điều kiện trước' và ghi lại các ID ban đầu.
2. Mở màn hình/API tương ứng ở trạng thái chưa xác thực, trừ khi kịch bản yêu cầu session có sẵn.
3. Thực hiện kịch bản: Email thông báo sau reset.
4. Ghi lại HTTP status, response body và thông báo/điều hướng trên UI (nếu có).
5. Kiểm tra challenge/email, password mới/cũ và hiệu lực của toàn bộ session/token cũ.
6. So sánh toàn bộ kết quả với cột 'Kết quả mong đợi' và đính kèm evidence nếu Fail/Blocked.</t>
        </is>
      </c>
      <c r="L12" s="4" t="inlineStr">
        <is>
          <t>Gửi tới email tài khoản; lỗi gửi mail không rollback đổi password nhưng có security event</t>
        </is>
      </c>
      <c r="M12" s="4" t="inlineStr">
        <is>
          <t>Challenge consumed đúng lúc; password/session state nhất quán.</t>
        </is>
      </c>
      <c r="N12" s="4" t="inlineStr"/>
      <c r="O12" s="16" t="inlineStr">
        <is>
          <t>Not Run</t>
        </is>
      </c>
      <c r="P12" s="4" t="inlineStr"/>
      <c r="Q12" s="4" t="inlineStr"/>
      <c r="R12" s="4" t="inlineStr"/>
      <c r="S12" s="4" t="inlineStr"/>
      <c r="T12" s="4" t="inlineStr"/>
      <c r="U12" s="4" t="inlineStr">
        <is>
          <t>Candidate</t>
        </is>
      </c>
      <c r="V12" s="4" t="inlineStr"/>
    </row>
    <row r="13" ht="132" customHeight="1">
      <c r="A13" s="5" t="n">
        <v>10</v>
      </c>
      <c r="B13" s="17" t="inlineStr">
        <is>
          <t>COM05-10</t>
        </is>
      </c>
      <c r="C13" s="5" t="inlineStr">
        <is>
          <t>UC-COM-05</t>
        </is>
      </c>
      <c r="D13" s="5" t="inlineStr">
        <is>
          <t>Vượt rate limit reset theo identifier/IP</t>
        </is>
      </c>
      <c r="E13" s="15" t="inlineStr">
        <is>
          <t>P0</t>
        </is>
      </c>
      <c r="F13" s="5" t="inlineStr">
        <is>
          <t>Security/Authorization</t>
        </is>
      </c>
      <c r="G13" s="5" t="inlineStr">
        <is>
          <t>API + Integration</t>
        </is>
      </c>
      <c r="H13" s="5" t="inlineStr">
        <is>
          <t>POST /api/v1/common/auth/forgot-password/
POST /api/v1/common/auth/reset-password/</t>
        </is>
      </c>
      <c r="I13" s="5" t="inlineStr">
        <is>
          <t>Có tài khoản ACTIVE đã verify email; email sandbox hoạt động; tạo nhiều session khi cần.</t>
        </is>
      </c>
      <c r="J13" s="5" t="inlineStr">
        <is>
          <t>identifier=user@example.com; new_password=NewStrongPass!2026
Bổ sung: Gửi request liên tiếp vượt ngưỡng cấu hình từ cùng identifier/IP</t>
        </is>
      </c>
      <c r="K13" s="5" t="inlineStr">
        <is>
          <t>1. Chuẩn bị dữ liệu đúng mục 'Điều kiện trước' và ghi lại các ID ban đầu.
2. Mở màn hình/API tương ứng ở trạng thái chưa xác thực, trừ khi kịch bản yêu cầu session có sẵn.
3. Thực hiện kịch bản: Vượt rate limit reset theo identifier/IP.
4. Ghi lại HTTP status, response body và thông báo/điều hướng trên UI (nếu có).
5. Kiểm tra challenge/email, password mới/cũ và hiệu lực của toàn bộ session/token cũ.
6. So sánh toàn bộ kết quả với cột 'Kết quả mong đợi' và đính kèm evidence nếu Fail/Blocked.</t>
        </is>
      </c>
      <c r="L13" s="5" t="inlineStr">
        <is>
          <t>429; không gửi email hàng loạt</t>
        </is>
      </c>
      <c r="M13" s="5" t="inlineStr">
        <is>
          <t>Challenge consumed đúng lúc; password/session state nhất quán.</t>
        </is>
      </c>
      <c r="N13" s="5" t="inlineStr"/>
      <c r="O13" s="18" t="inlineStr">
        <is>
          <t>Not Run</t>
        </is>
      </c>
      <c r="P13" s="5" t="inlineStr"/>
      <c r="Q13" s="5" t="inlineStr"/>
      <c r="R13" s="5" t="inlineStr"/>
      <c r="S13" s="5" t="inlineStr"/>
      <c r="T13" s="5" t="inlineStr"/>
      <c r="U13" s="5" t="inlineStr">
        <is>
          <t>Candidate</t>
        </is>
      </c>
      <c r="V13" s="5" t="inlineStr"/>
    </row>
    <row r="14" ht="132" customHeight="1">
      <c r="A14" s="4" t="n">
        <v>11</v>
      </c>
      <c r="B14" s="14" t="inlineStr">
        <is>
          <t>COM05-11</t>
        </is>
      </c>
      <c r="C14" s="4" t="inlineStr">
        <is>
          <t>UC-COM-05</t>
        </is>
      </c>
      <c r="D14" s="4" t="inlineStr">
        <is>
          <t>Alias endpoint cũ và mới</t>
        </is>
      </c>
      <c r="E14" s="19" t="inlineStr">
        <is>
          <t>P1</t>
        </is>
      </c>
      <c r="F14" s="4" t="inlineStr">
        <is>
          <t>Functional</t>
        </is>
      </c>
      <c r="G14" s="4" t="inlineStr">
        <is>
          <t>API + UI/E2E</t>
        </is>
      </c>
      <c r="H14" s="4" t="inlineStr">
        <is>
          <t>POST /api/v1/common/auth/forgot-password/
POST /api/v1/common/auth/reset-password/</t>
        </is>
      </c>
      <c r="I14" s="4" t="inlineStr">
        <is>
          <t>Có tài khoản ACTIVE đã verify email; email sandbox hoạt động; tạo nhiều session khi cần.</t>
        </is>
      </c>
      <c r="J14" s="4" t="inlineStr">
        <is>
          <t>identifier=user@example.com; new_password=NewStrongPass!2026</t>
        </is>
      </c>
      <c r="K14" s="4" t="inlineStr">
        <is>
          <t>1. Chuẩn bị dữ liệu đúng mục 'Điều kiện trước' và ghi lại các ID ban đầu.
2. Mở màn hình/API tương ứng ở trạng thái chưa xác thực, trừ khi kịch bản yêu cầu session có sẵn.
3. Thực hiện kịch bản: Alias endpoint cũ và mới.
4. Ghi lại HTTP status, response body và thông báo/điều hướng trên UI (nếu có).
5. Kiểm tra challenge/email, password mới/cũ và hiệu lực của toàn bộ session/token cũ.
6. So sánh toàn bộ kết quả với cột 'Kết quả mong đợi' và đính kèm evidence nếu Fail/Blocked.</t>
        </is>
      </c>
      <c r="L14" s="4" t="inlineStr">
        <is>
          <t>Hai cặp route có hành vi/schema tương thích</t>
        </is>
      </c>
      <c r="M14" s="4" t="inlineStr">
        <is>
          <t>Challenge consumed đúng lúc; password/session state nhất quán.</t>
        </is>
      </c>
      <c r="N14" s="4" t="inlineStr"/>
      <c r="O14" s="16" t="inlineStr">
        <is>
          <t>Not Run</t>
        </is>
      </c>
      <c r="P14" s="4" t="inlineStr"/>
      <c r="Q14" s="4" t="inlineStr"/>
      <c r="R14" s="4" t="inlineStr"/>
      <c r="S14" s="4" t="inlineStr"/>
      <c r="T14" s="4" t="inlineStr"/>
      <c r="U14" s="4" t="inlineStr">
        <is>
          <t>Candidate</t>
        </is>
      </c>
      <c r="V14" s="4" t="inlineStr"/>
    </row>
  </sheetData>
  <autoFilter ref="A3:V14"/>
  <mergeCells count="2">
    <mergeCell ref="A2:V2"/>
    <mergeCell ref="A1:V1"/>
  </mergeCells>
  <conditionalFormatting sqref="O4:O14">
    <cfRule type="expression" priority="1" dxfId="0">
      <formula>$O4="Pass"</formula>
    </cfRule>
    <cfRule type="expression" priority="2" dxfId="1">
      <formula>$O4="Fail"</formula>
    </cfRule>
    <cfRule type="expression" priority="3" dxfId="2">
      <formula>$O4="Blocked"</formula>
    </cfRule>
    <cfRule type="expression" priority="4" dxfId="3">
      <formula>$O4="N/A"</formula>
    </cfRule>
  </conditionalFormatting>
  <dataValidations count="3">
    <dataValidation sqref="O4:O14" showDropDown="0" showInputMessage="0" showErrorMessage="0" allowBlank="1" type="list">
      <formula1>"Not Run,Pass,Fail,Blocked,N/A"</formula1>
    </dataValidation>
    <dataValidation sqref="P4:P14" showDropDown="0" showInputMessage="0" showErrorMessage="0" allowBlank="1" type="list">
      <formula1>"S1 Critical,S2 High,S3 Medium,S4 Low"</formula1>
    </dataValidation>
    <dataValidation sqref="U4:U14" showDropDown="0" showInputMessage="0" showErrorMessage="0" allowBlank="1" type="list">
      <formula1>"Manual,Automated,Candidate,Not Applicable"</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12"/>
  <sheetViews>
    <sheetView showGridLines="0"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4" customWidth="1" min="2" max="2"/>
    <col width="14" customWidth="1" min="3" max="3"/>
    <col width="42" customWidth="1" min="4" max="4"/>
    <col width="10" customWidth="1" min="5" max="5"/>
    <col width="23" customWidth="1" min="6" max="6"/>
    <col width="18" customWidth="1" min="7" max="7"/>
    <col width="50" customWidth="1" min="8" max="8"/>
    <col width="48" customWidth="1" min="9" max="9"/>
    <col width="50" customWidth="1" min="10" max="10"/>
    <col width="70" customWidth="1" min="11" max="11"/>
    <col width="62" customWidth="1" min="12" max="12"/>
    <col width="46" customWidth="1" min="13" max="13"/>
    <col width="50" customWidth="1" min="14" max="14"/>
    <col width="13" customWidth="1" min="15" max="15"/>
    <col width="16" customWidth="1" min="16" max="16"/>
    <col width="16" customWidth="1" min="17" max="17"/>
    <col width="18" customWidth="1" min="18" max="18"/>
    <col width="14" customWidth="1" min="19" max="19"/>
    <col width="30" customWidth="1" min="20" max="20"/>
    <col width="16" customWidth="1" min="21" max="21"/>
    <col width="34" customWidth="1" min="22" max="22"/>
  </cols>
  <sheetData>
    <row r="1" ht="32" customHeight="1">
      <c r="A1" s="1" t="inlineStr">
        <is>
          <t>UC-COM-06 – Đổi mật khẩu</t>
        </is>
      </c>
    </row>
    <row r="2" ht="30" customHeight="1">
      <c r="A2" s="2" t="inlineStr">
        <is>
          <t>Nguồn: COMMON_SERVICES_TEST_PLAN.md | 9 test case</t>
        </is>
      </c>
    </row>
    <row r="3" ht="38" customHeight="1">
      <c r="A3" s="3" t="inlineStr">
        <is>
          <t>STT</t>
        </is>
      </c>
      <c r="B3" s="3" t="inlineStr">
        <is>
          <t>Test Case ID</t>
        </is>
      </c>
      <c r="C3" s="3" t="inlineStr">
        <is>
          <t>UC ID</t>
        </is>
      </c>
      <c r="D3" s="3" t="inlineStr">
        <is>
          <t>Tên test case</t>
        </is>
      </c>
      <c r="E3" s="3" t="inlineStr">
        <is>
          <t>Priority</t>
        </is>
      </c>
      <c r="F3" s="3" t="inlineStr">
        <is>
          <t>Loại kiểm thử</t>
        </is>
      </c>
      <c r="G3" s="3" t="inlineStr">
        <is>
          <t>Lớp</t>
        </is>
      </c>
      <c r="H3" s="3" t="inlineStr">
        <is>
          <t>Endpoint/API</t>
        </is>
      </c>
      <c r="I3" s="3" t="inlineStr">
        <is>
          <t>Điều kiện trước</t>
        </is>
      </c>
      <c r="J3" s="3" t="inlineStr">
        <is>
          <t>Dữ liệu kiểm thử</t>
        </is>
      </c>
      <c r="K3" s="3" t="inlineStr">
        <is>
          <t>Các bước thực hiện</t>
        </is>
      </c>
      <c r="L3" s="3" t="inlineStr">
        <is>
          <t>Kết quả mong đợi</t>
        </is>
      </c>
      <c r="M3" s="3" t="inlineStr">
        <is>
          <t>Hậu điều kiện cần kiểm tra</t>
        </is>
      </c>
      <c r="N3" s="3" t="inlineStr">
        <is>
          <t>Actual Result</t>
        </is>
      </c>
      <c r="O3" s="3" t="inlineStr">
        <is>
          <t>Status</t>
        </is>
      </c>
      <c r="P3" s="3" t="inlineStr">
        <is>
          <t>Severity nếu lỗi</t>
        </is>
      </c>
      <c r="Q3" s="3" t="inlineStr">
        <is>
          <t>Defect ID</t>
        </is>
      </c>
      <c r="R3" s="3" t="inlineStr">
        <is>
          <t>Tester</t>
        </is>
      </c>
      <c r="S3" s="3" t="inlineStr">
        <is>
          <t>Ngày chạy</t>
        </is>
      </c>
      <c r="T3" s="3" t="inlineStr">
        <is>
          <t>Evidence/Link</t>
        </is>
      </c>
      <c r="U3" s="3" t="inlineStr">
        <is>
          <t>Automation</t>
        </is>
      </c>
      <c r="V3" s="3" t="inlineStr">
        <is>
          <t>Ghi chú</t>
        </is>
      </c>
    </row>
    <row r="4" ht="132" customHeight="1">
      <c r="A4" s="4" t="n">
        <v>1</v>
      </c>
      <c r="B4" s="14" t="inlineStr">
        <is>
          <t>COM06-01</t>
        </is>
      </c>
      <c r="C4" s="4" t="inlineStr">
        <is>
          <t>UC-COM-06</t>
        </is>
      </c>
      <c r="D4" s="4" t="inlineStr">
        <is>
          <t>Current password đúng, new password mạnh, confirm khớp</t>
        </is>
      </c>
      <c r="E4" s="15" t="inlineStr">
        <is>
          <t>P0</t>
        </is>
      </c>
      <c r="F4" s="4" t="inlineStr">
        <is>
          <t>Functional</t>
        </is>
      </c>
      <c r="G4" s="4" t="inlineStr">
        <is>
          <t>API + UI/E2E</t>
        </is>
      </c>
      <c r="H4" s="4" t="inlineStr">
        <is>
          <t>POST /api/v1/common/auth/change-password/</t>
        </is>
      </c>
      <c r="I4" s="4" t="inlineStr">
        <is>
          <t>U3 có JWT hợp lệ; tạo S1/S2 khi cần kiểm tra thu hồi phiên.</t>
        </is>
      </c>
      <c r="J4" s="4" t="inlineStr">
        <is>
          <t>current_password=StrongPass!2026; new_password=ChangedPass!2026</t>
        </is>
      </c>
      <c r="K4" s="4" t="inlineStr">
        <is>
          <t>1. Chuẩn bị dữ liệu đúng mục 'Điều kiện trước' và ghi lại các ID ban đầu.
2. Đăng nhập bằng đúng actor/role và chọn company/branch theo điều kiện trước.
3. Thực hiện kịch bản: Current password đúng, new password mạnh, confirm khớp.
4. Ghi lại HTTP status, response body và thông báo/điều hướng trên UI (nếu có).
5. Kiểm tra password, session hiện tại/session khác, email và security event.
6. So sánh toàn bộ kết quả với cột 'Kết quả mong đợi' và đính kèm evidence nếu Fail/Blocked.</t>
        </is>
      </c>
      <c r="L4" s="4" t="inlineStr">
        <is>
          <t>200 changed=true; mật khẩu cập nhật; security/audit event phù hợp</t>
        </is>
      </c>
      <c r="M4" s="4" t="inlineStr">
        <is>
          <t>Password changed_at, session revoke reason và security event chính xác.</t>
        </is>
      </c>
      <c r="N4" s="4" t="inlineStr"/>
      <c r="O4" s="16" t="inlineStr">
        <is>
          <t>Not Run</t>
        </is>
      </c>
      <c r="P4" s="4" t="inlineStr"/>
      <c r="Q4" s="4" t="inlineStr"/>
      <c r="R4" s="4" t="inlineStr"/>
      <c r="S4" s="4" t="inlineStr"/>
      <c r="T4" s="4" t="inlineStr"/>
      <c r="U4" s="4" t="inlineStr">
        <is>
          <t>Candidate</t>
        </is>
      </c>
      <c r="V4" s="4" t="inlineStr"/>
    </row>
    <row r="5" ht="132" customHeight="1">
      <c r="A5" s="5" t="n">
        <v>2</v>
      </c>
      <c r="B5" s="17" t="inlineStr">
        <is>
          <t>COM06-02</t>
        </is>
      </c>
      <c r="C5" s="5" t="inlineStr">
        <is>
          <t>UC-COM-06</t>
        </is>
      </c>
      <c r="D5" s="5" t="inlineStr">
        <is>
          <t>Current password sai lần 1–4</t>
        </is>
      </c>
      <c r="E5" s="15" t="inlineStr">
        <is>
          <t>P0</t>
        </is>
      </c>
      <c r="F5" s="5" t="inlineStr">
        <is>
          <t>Functional</t>
        </is>
      </c>
      <c r="G5" s="5" t="inlineStr">
        <is>
          <t>API + UI/E2E</t>
        </is>
      </c>
      <c r="H5" s="5" t="inlineStr">
        <is>
          <t>POST /api/v1/common/auth/change-password/</t>
        </is>
      </c>
      <c r="I5" s="5" t="inlineStr">
        <is>
          <t>U3 có JWT hợp lệ; tạo S1/S2 khi cần kiểm tra thu hồi phiên.</t>
        </is>
      </c>
      <c r="J5" s="5" t="inlineStr">
        <is>
          <t>current_password=StrongPass!2026; new_password=ChangedPass!2026
Bổ sung: AI stub hỗ trợ success, timeout, HTTP 500, invalid JSON và oversized response</t>
        </is>
      </c>
      <c r="K5" s="5" t="inlineStr">
        <is>
          <t>1. Chuẩn bị dữ liệu đúng mục 'Điều kiện trước' và ghi lại các ID ban đầu.
2. Đăng nhập bằng đúng actor/role và chọn company/branch theo điều kiện trước.
3. Thực hiện kịch bản: Current password sai lần 1–4.
4. Ghi lại HTTP status, response body và thông báo/điều hướng trên UI (nếu có).
5. Kiểm tra password, session hiện tại/session khác, email và security event.
6. So sánh toàn bộ kết quả với cột 'Kết quả mong đợi' và đính kèm evidence nếu Fail/Blocked.</t>
        </is>
      </c>
      <c r="L5" s="5" t="inlineStr">
        <is>
          <t>400; không đổi password; tăng failure của đúng session</t>
        </is>
      </c>
      <c r="M5" s="5" t="inlineStr">
        <is>
          <t>Password changed_at, session revoke reason và security event chính xác.</t>
        </is>
      </c>
      <c r="N5" s="5" t="inlineStr"/>
      <c r="O5" s="18" t="inlineStr">
        <is>
          <t>Not Run</t>
        </is>
      </c>
      <c r="P5" s="5" t="inlineStr"/>
      <c r="Q5" s="5" t="inlineStr"/>
      <c r="R5" s="5" t="inlineStr"/>
      <c r="S5" s="5" t="inlineStr"/>
      <c r="T5" s="5" t="inlineStr"/>
      <c r="U5" s="5" t="inlineStr">
        <is>
          <t>Candidate</t>
        </is>
      </c>
      <c r="V5" s="5" t="inlineStr"/>
    </row>
    <row r="6" ht="132" customHeight="1">
      <c r="A6" s="4" t="n">
        <v>3</v>
      </c>
      <c r="B6" s="14" t="inlineStr">
        <is>
          <t>COM06-03</t>
        </is>
      </c>
      <c r="C6" s="4" t="inlineStr">
        <is>
          <t>UC-COM-06</t>
        </is>
      </c>
      <c r="D6" s="4" t="inlineStr">
        <is>
          <t>Current password sai lần 5</t>
        </is>
      </c>
      <c r="E6" s="15" t="inlineStr">
        <is>
          <t>P0</t>
        </is>
      </c>
      <c r="F6" s="4" t="inlineStr">
        <is>
          <t>Functional</t>
        </is>
      </c>
      <c r="G6" s="4" t="inlineStr">
        <is>
          <t>API + UI/E2E</t>
        </is>
      </c>
      <c r="H6" s="4" t="inlineStr">
        <is>
          <t>POST /api/v1/common/auth/change-password/</t>
        </is>
      </c>
      <c r="I6" s="4" t="inlineStr">
        <is>
          <t>U3 có JWT hợp lệ; tạo S1/S2 khi cần kiểm tra thu hồi phiên.</t>
        </is>
      </c>
      <c r="J6" s="4" t="inlineStr">
        <is>
          <t>current_password=StrongPass!2026; new_password=ChangedPass!2026
Bổ sung: AI stub hỗ trợ success, timeout, HTTP 500, invalid JSON và oversized response</t>
        </is>
      </c>
      <c r="K6" s="4" t="inlineStr">
        <is>
          <t>1. Chuẩn bị dữ liệu đúng mục 'Điều kiện trước' và ghi lại các ID ban đầu.
2. Đăng nhập bằng đúng actor/role và chọn company/branch theo điều kiện trước.
3. Thực hiện kịch bản: Current password sai lần 5.
4. Ghi lại HTTP status, response body và thông báo/điều hướng trên UI (nếu có).
5. Kiểm tra password, session hiện tại/session khác, email và security event.
6. So sánh toàn bộ kết quả với cột 'Kết quả mong đợi' và đính kèm evidence nếu Fail/Blocked.</t>
        </is>
      </c>
      <c r="L6" s="4" t="inlineStr">
        <is>
          <t>Session hiện tại bị revoke; session khác không bị tác động ngoài quy tắc đã duyệt</t>
        </is>
      </c>
      <c r="M6" s="4" t="inlineStr">
        <is>
          <t>Password changed_at, session revoke reason và security event chính xác.</t>
        </is>
      </c>
      <c r="N6" s="4" t="inlineStr"/>
      <c r="O6" s="16" t="inlineStr">
        <is>
          <t>Not Run</t>
        </is>
      </c>
      <c r="P6" s="4" t="inlineStr"/>
      <c r="Q6" s="4" t="inlineStr"/>
      <c r="R6" s="4" t="inlineStr"/>
      <c r="S6" s="4" t="inlineStr"/>
      <c r="T6" s="4" t="inlineStr"/>
      <c r="U6" s="4" t="inlineStr">
        <is>
          <t>Candidate</t>
        </is>
      </c>
      <c r="V6" s="4" t="inlineStr"/>
    </row>
    <row r="7" ht="132" customHeight="1">
      <c r="A7" s="5" t="n">
        <v>4</v>
      </c>
      <c r="B7" s="17" t="inlineStr">
        <is>
          <t>COM06-04</t>
        </is>
      </c>
      <c r="C7" s="5" t="inlineStr">
        <is>
          <t>UC-COM-06</t>
        </is>
      </c>
      <c r="D7" s="5" t="inlineStr">
        <is>
          <t>New password trùng current</t>
        </is>
      </c>
      <c r="E7" s="19" t="inlineStr">
        <is>
          <t>P1</t>
        </is>
      </c>
      <c r="F7" s="5" t="inlineStr">
        <is>
          <t>Functional</t>
        </is>
      </c>
      <c r="G7" s="5" t="inlineStr">
        <is>
          <t>API + UI/E2E</t>
        </is>
      </c>
      <c r="H7" s="5" t="inlineStr">
        <is>
          <t>POST /api/v1/common/auth/change-password/</t>
        </is>
      </c>
      <c r="I7" s="5" t="inlineStr">
        <is>
          <t>U3 có JWT hợp lệ; tạo S1/S2 khi cần kiểm tra thu hồi phiên.</t>
        </is>
      </c>
      <c r="J7" s="5" t="inlineStr">
        <is>
          <t>current_password=StrongPass!2026; new_password=ChangedPass!2026
Bổ sung: Chuẩn bị trước một bản ghi có cùng giá trị cần kiểm tra</t>
        </is>
      </c>
      <c r="K7" s="5" t="inlineStr">
        <is>
          <t>1. Chuẩn bị dữ liệu đúng mục 'Điều kiện trước' và ghi lại các ID ban đầu.
2. Đăng nhập bằng đúng actor/role và chọn company/branch theo điều kiện trước.
3. Thực hiện kịch bản: New password trùng current.
4. Ghi lại HTTP status, response body và thông báo/điều hướng trên UI (nếu có).
5. Kiểm tra password, session hiện tại/session khác, email và security event.
6. So sánh toàn bộ kết quả với cột 'Kết quả mong đợi' và đính kèm evidence nếu Fail/Blocked.</t>
        </is>
      </c>
      <c r="L7" s="5" t="inlineStr">
        <is>
          <t>400; không gửi email success, không revoke session</t>
        </is>
      </c>
      <c r="M7" s="5" t="inlineStr">
        <is>
          <t>Password changed_at, session revoke reason và security event chính xác.</t>
        </is>
      </c>
      <c r="N7" s="5" t="inlineStr"/>
      <c r="O7" s="18" t="inlineStr">
        <is>
          <t>Not Run</t>
        </is>
      </c>
      <c r="P7" s="5" t="inlineStr"/>
      <c r="Q7" s="5" t="inlineStr"/>
      <c r="R7" s="5" t="inlineStr"/>
      <c r="S7" s="5" t="inlineStr"/>
      <c r="T7" s="5" t="inlineStr"/>
      <c r="U7" s="5" t="inlineStr">
        <is>
          <t>Candidate</t>
        </is>
      </c>
      <c r="V7" s="5" t="inlineStr"/>
    </row>
    <row r="8" ht="132" customHeight="1">
      <c r="A8" s="4" t="n">
        <v>5</v>
      </c>
      <c r="B8" s="14" t="inlineStr">
        <is>
          <t>COM06-05</t>
        </is>
      </c>
      <c r="C8" s="4" t="inlineStr">
        <is>
          <t>UC-COM-06</t>
        </is>
      </c>
      <c r="D8" s="4" t="inlineStr">
        <is>
          <t>New password yếu hoặc confirm sai</t>
        </is>
      </c>
      <c r="E8" s="19" t="inlineStr">
        <is>
          <t>P1</t>
        </is>
      </c>
      <c r="F8" s="4" t="inlineStr">
        <is>
          <t>Functional</t>
        </is>
      </c>
      <c r="G8" s="4" t="inlineStr">
        <is>
          <t>API + UI/E2E</t>
        </is>
      </c>
      <c r="H8" s="4" t="inlineStr">
        <is>
          <t>POST /api/v1/common/auth/change-password/</t>
        </is>
      </c>
      <c r="I8" s="4" t="inlineStr">
        <is>
          <t>U3 có JWT hợp lệ; tạo S1/S2 khi cần kiểm tra thu hồi phiên.</t>
        </is>
      </c>
      <c r="J8" s="4" t="inlineStr">
        <is>
          <t>current_password=StrongPass!2026; new_password=ChangedPass!2026
Bổ sung: AI stub hỗ trợ success, timeout, HTTP 500, invalid JSON và oversized response</t>
        </is>
      </c>
      <c r="K8" s="4" t="inlineStr">
        <is>
          <t>1. Chuẩn bị dữ liệu đúng mục 'Điều kiện trước' và ghi lại các ID ban đầu.
2. Đăng nhập bằng đúng actor/role và chọn company/branch theo điều kiện trước.
3. Thực hiện kịch bản: New password yếu hoặc confirm sai.
4. Ghi lại HTTP status, response body và thông báo/điều hướng trên UI (nếu có).
5. Kiểm tra password, session hiện tại/session khác, email và security event.
6. So sánh toàn bộ kết quả với cột 'Kết quả mong đợi' và đính kèm evidence nếu Fail/Blocked.</t>
        </is>
      </c>
      <c r="L8" s="4" t="inlineStr">
        <is>
          <t>400 đúng field; không đổi dữ liệu</t>
        </is>
      </c>
      <c r="M8" s="4" t="inlineStr">
        <is>
          <t>Password changed_at, session revoke reason và security event chính xác.</t>
        </is>
      </c>
      <c r="N8" s="4" t="inlineStr"/>
      <c r="O8" s="16" t="inlineStr">
        <is>
          <t>Not Run</t>
        </is>
      </c>
      <c r="P8" s="4" t="inlineStr"/>
      <c r="Q8" s="4" t="inlineStr"/>
      <c r="R8" s="4" t="inlineStr"/>
      <c r="S8" s="4" t="inlineStr"/>
      <c r="T8" s="4" t="inlineStr"/>
      <c r="U8" s="4" t="inlineStr">
        <is>
          <t>Candidate</t>
        </is>
      </c>
      <c r="V8" s="4" t="inlineStr"/>
    </row>
    <row r="9" ht="132" customHeight="1">
      <c r="A9" s="5" t="n">
        <v>6</v>
      </c>
      <c r="B9" s="17" t="inlineStr">
        <is>
          <t>COM06-06</t>
        </is>
      </c>
      <c r="C9" s="5" t="inlineStr">
        <is>
          <t>UC-COM-06</t>
        </is>
      </c>
      <c r="D9" s="5" t="inlineStr">
        <is>
          <t>Đổi thành công khi có S1 và S2</t>
        </is>
      </c>
      <c r="E9" s="15" t="inlineStr">
        <is>
          <t>P0</t>
        </is>
      </c>
      <c r="F9" s="5" t="inlineStr">
        <is>
          <t>Functional</t>
        </is>
      </c>
      <c r="G9" s="5" t="inlineStr">
        <is>
          <t>API + UI/E2E</t>
        </is>
      </c>
      <c r="H9" s="5" t="inlineStr">
        <is>
          <t>POST /api/v1/common/auth/change-password/</t>
        </is>
      </c>
      <c r="I9" s="5" t="inlineStr">
        <is>
          <t>U3 có JWT hợp lệ; tạo S1/S2 khi cần kiểm tra thu hồi phiên.</t>
        </is>
      </c>
      <c r="J9" s="5" t="inlineStr">
        <is>
          <t>current_password=StrongPass!2026; new_password=ChangedPass!2026</t>
        </is>
      </c>
      <c r="K9" s="5" t="inlineStr">
        <is>
          <t>1. Chuẩn bị dữ liệu đúng mục 'Điều kiện trước' và ghi lại các ID ban đầu.
2. Đăng nhập bằng đúng actor/role và chọn company/branch theo điều kiện trước.
3. Thực hiện kịch bản: Đổi thành công khi có S1 và S2.
4. Ghi lại HTTP status, response body và thông báo/điều hướng trên UI (nếu có).
5. Kiểm tra password, session hiện tại/session khác, email và security event.
6. So sánh toàn bộ kết quả với cột 'Kết quả mong đợi' và đính kèm evidence nếu Fail/Blocked.</t>
        </is>
      </c>
      <c r="L9" s="5" t="inlineStr">
        <is>
          <t>Giữ S1 hiện tại; revoke S2 và mọi session khác với reason PASSWORD_CHANGED</t>
        </is>
      </c>
      <c r="M9" s="5" t="inlineStr">
        <is>
          <t>Password changed_at, session revoke reason và security event chính xác.</t>
        </is>
      </c>
      <c r="N9" s="5" t="inlineStr"/>
      <c r="O9" s="18" t="inlineStr">
        <is>
          <t>Not Run</t>
        </is>
      </c>
      <c r="P9" s="5" t="inlineStr"/>
      <c r="Q9" s="5" t="inlineStr"/>
      <c r="R9" s="5" t="inlineStr"/>
      <c r="S9" s="5" t="inlineStr"/>
      <c r="T9" s="5" t="inlineStr"/>
      <c r="U9" s="5" t="inlineStr">
        <is>
          <t>Candidate</t>
        </is>
      </c>
      <c r="V9" s="5" t="inlineStr"/>
    </row>
    <row r="10" ht="132" customHeight="1">
      <c r="A10" s="4" t="n">
        <v>7</v>
      </c>
      <c r="B10" s="14" t="inlineStr">
        <is>
          <t>COM06-07</t>
        </is>
      </c>
      <c r="C10" s="4" t="inlineStr">
        <is>
          <t>UC-COM-06</t>
        </is>
      </c>
      <c r="D10" s="4" t="inlineStr">
        <is>
          <t>Dùng mật khẩu cũ/mới sau đổi</t>
        </is>
      </c>
      <c r="E10" s="15" t="inlineStr">
        <is>
          <t>P0</t>
        </is>
      </c>
      <c r="F10" s="4" t="inlineStr">
        <is>
          <t>Functional</t>
        </is>
      </c>
      <c r="G10" s="4" t="inlineStr">
        <is>
          <t>API + UI/E2E</t>
        </is>
      </c>
      <c r="H10" s="4" t="inlineStr">
        <is>
          <t>POST /api/v1/common/auth/change-password/</t>
        </is>
      </c>
      <c r="I10" s="4" t="inlineStr">
        <is>
          <t>U3 có JWT hợp lệ; tạo S1/S2 khi cần kiểm tra thu hồi phiên.</t>
        </is>
      </c>
      <c r="J10" s="4" t="inlineStr">
        <is>
          <t>current_password=StrongPass!2026; new_password=ChangedPass!2026</t>
        </is>
      </c>
      <c r="K10" s="4" t="inlineStr">
        <is>
          <t>1. Chuẩn bị dữ liệu đúng mục 'Điều kiện trước' và ghi lại các ID ban đầu.
2. Đăng nhập bằng đúng actor/role và chọn company/branch theo điều kiện trước.
3. Thực hiện kịch bản: Dùng mật khẩu cũ/mới sau đổi.
4. Ghi lại HTTP status, response body và thông báo/điều hướng trên UI (nếu có).
5. Kiểm tra password, session hiện tại/session khác, email và security event.
6. So sánh toàn bộ kết quả với cột 'Kết quả mong đợi' và đính kèm evidence nếu Fail/Blocked.</t>
        </is>
      </c>
      <c r="L10" s="4" t="inlineStr">
        <is>
          <t>Mật khẩu cũ thất bại, mật khẩu mới thành công</t>
        </is>
      </c>
      <c r="M10" s="4" t="inlineStr">
        <is>
          <t>Password changed_at, session revoke reason và security event chính xác.</t>
        </is>
      </c>
      <c r="N10" s="4" t="inlineStr"/>
      <c r="O10" s="16" t="inlineStr">
        <is>
          <t>Not Run</t>
        </is>
      </c>
      <c r="P10" s="4" t="inlineStr"/>
      <c r="Q10" s="4" t="inlineStr"/>
      <c r="R10" s="4" t="inlineStr"/>
      <c r="S10" s="4" t="inlineStr"/>
      <c r="T10" s="4" t="inlineStr"/>
      <c r="U10" s="4" t="inlineStr">
        <is>
          <t>Candidate</t>
        </is>
      </c>
      <c r="V10" s="4" t="inlineStr"/>
    </row>
    <row r="11" ht="132" customHeight="1">
      <c r="A11" s="5" t="n">
        <v>8</v>
      </c>
      <c r="B11" s="17" t="inlineStr">
        <is>
          <t>COM06-08</t>
        </is>
      </c>
      <c r="C11" s="5" t="inlineStr">
        <is>
          <t>UC-COM-06</t>
        </is>
      </c>
      <c r="D11" s="5" t="inlineStr">
        <is>
          <t>Email thông báo đổi mật khẩu lỗi</t>
        </is>
      </c>
      <c r="E11" s="19" t="inlineStr">
        <is>
          <t>P1</t>
        </is>
      </c>
      <c r="F11" s="5" t="inlineStr">
        <is>
          <t>Functional</t>
        </is>
      </c>
      <c r="G11" s="5" t="inlineStr">
        <is>
          <t>API + UI/E2E</t>
        </is>
      </c>
      <c r="H11" s="5" t="inlineStr">
        <is>
          <t>POST /api/v1/common/auth/change-password/</t>
        </is>
      </c>
      <c r="I11" s="5" t="inlineStr">
        <is>
          <t>U3 có JWT hợp lệ; tạo S1/S2 khi cần kiểm tra thu hồi phiên.</t>
        </is>
      </c>
      <c r="J11" s="5" t="inlineStr">
        <is>
          <t>current_password=StrongPass!2026; new_password=ChangedPass!2026
Bổ sung: AI stub hỗ trợ success, timeout, HTTP 500, invalid JSON và oversized response</t>
        </is>
      </c>
      <c r="K11" s="5" t="inlineStr">
        <is>
          <t>1. Chuẩn bị dữ liệu đúng mục 'Điều kiện trước' và ghi lại các ID ban đầu.
2. Đăng nhập bằng đúng actor/role và chọn company/branch theo điều kiện trước.
3. Thực hiện kịch bản: Email thông báo đổi mật khẩu lỗi.
4. Ghi lại HTTP status, response body và thông báo/điều hướng trên UI (nếu có).
5. Kiểm tra password, session hiện tại/session khác, email và security event.
6. So sánh toàn bộ kết quả với cột 'Kết quả mong đợi' và đính kèm evidence nếu Fail/Blocked.</t>
        </is>
      </c>
      <c r="L11" s="5" t="inlineStr">
        <is>
          <t>Đổi mật khẩu vẫn commit; tạo security event cảnh báo</t>
        </is>
      </c>
      <c r="M11" s="5" t="inlineStr">
        <is>
          <t>Password changed_at, session revoke reason và security event chính xác.</t>
        </is>
      </c>
      <c r="N11" s="5" t="inlineStr"/>
      <c r="O11" s="18" t="inlineStr">
        <is>
          <t>Not Run</t>
        </is>
      </c>
      <c r="P11" s="5" t="inlineStr"/>
      <c r="Q11" s="5" t="inlineStr"/>
      <c r="R11" s="5" t="inlineStr"/>
      <c r="S11" s="5" t="inlineStr"/>
      <c r="T11" s="5" t="inlineStr"/>
      <c r="U11" s="5" t="inlineStr">
        <is>
          <t>Candidate</t>
        </is>
      </c>
      <c r="V11" s="5" t="inlineStr"/>
    </row>
    <row r="12" ht="132" customHeight="1">
      <c r="A12" s="4" t="n">
        <v>9</v>
      </c>
      <c r="B12" s="14" t="inlineStr">
        <is>
          <t>COM06-09</t>
        </is>
      </c>
      <c r="C12" s="4" t="inlineStr">
        <is>
          <t>UC-COM-06</t>
        </is>
      </c>
      <c r="D12" s="4" t="inlineStr">
        <is>
          <t>User inactive hoặc không có JWT hợp lệ</t>
        </is>
      </c>
      <c r="E12" s="15" t="inlineStr">
        <is>
          <t>P0</t>
        </is>
      </c>
      <c r="F12" s="4" t="inlineStr">
        <is>
          <t>Functional</t>
        </is>
      </c>
      <c r="G12" s="4" t="inlineStr">
        <is>
          <t>API + UI/E2E</t>
        </is>
      </c>
      <c r="H12" s="4" t="inlineStr">
        <is>
          <t>POST /api/v1/common/auth/change-password/</t>
        </is>
      </c>
      <c r="I12" s="4" t="inlineStr">
        <is>
          <t>U3 có JWT hợp lệ; tạo S1/S2 khi cần kiểm tra thu hồi phiên.</t>
        </is>
      </c>
      <c r="J12" s="4" t="inlineStr">
        <is>
          <t>current_password=StrongPass!2026; new_password=ChangedPass!2026</t>
        </is>
      </c>
      <c r="K12" s="4" t="inlineStr">
        <is>
          <t>1. Chuẩn bị dữ liệu đúng mục 'Điều kiện trước' và ghi lại các ID ban đầu.
2. Đăng nhập bằng đúng actor/role và chọn company/branch theo điều kiện trước.
3. Thực hiện kịch bản: User inactive hoặc không có JWT hợp lệ.
4. Ghi lại HTTP status, response body và thông báo/điều hướng trên UI (nếu có).
5. Kiểm tra password, session hiện tại/session khác, email và security event.
6. So sánh toàn bộ kết quả với cột 'Kết quả mong đợi' và đính kèm evidence nếu Fail/Blocked.</t>
        </is>
      </c>
      <c r="L12" s="4" t="inlineStr">
        <is>
          <t>401/403; không thay đổi mật khẩu</t>
        </is>
      </c>
      <c r="M12" s="4" t="inlineStr">
        <is>
          <t>Password changed_at, session revoke reason và security event chính xác.</t>
        </is>
      </c>
      <c r="N12" s="4" t="inlineStr"/>
      <c r="O12" s="16" t="inlineStr">
        <is>
          <t>Not Run</t>
        </is>
      </c>
      <c r="P12" s="4" t="inlineStr"/>
      <c r="Q12" s="4" t="inlineStr"/>
      <c r="R12" s="4" t="inlineStr"/>
      <c r="S12" s="4" t="inlineStr"/>
      <c r="T12" s="4" t="inlineStr"/>
      <c r="U12" s="4" t="inlineStr">
        <is>
          <t>Candidate</t>
        </is>
      </c>
      <c r="V12" s="4" t="inlineStr"/>
    </row>
  </sheetData>
  <autoFilter ref="A3:V12"/>
  <mergeCells count="2">
    <mergeCell ref="A2:V2"/>
    <mergeCell ref="A1:V1"/>
  </mergeCells>
  <conditionalFormatting sqref="O4:O12">
    <cfRule type="expression" priority="1" dxfId="0">
      <formula>$O4="Pass"</formula>
    </cfRule>
    <cfRule type="expression" priority="2" dxfId="1">
      <formula>$O4="Fail"</formula>
    </cfRule>
    <cfRule type="expression" priority="3" dxfId="2">
      <formula>$O4="Blocked"</formula>
    </cfRule>
    <cfRule type="expression" priority="4" dxfId="3">
      <formula>$O4="N/A"</formula>
    </cfRule>
  </conditionalFormatting>
  <dataValidations count="3">
    <dataValidation sqref="O4:O12" showDropDown="0" showInputMessage="0" showErrorMessage="0" allowBlank="1" type="list">
      <formula1>"Not Run,Pass,Fail,Blocked,N/A"</formula1>
    </dataValidation>
    <dataValidation sqref="P4:P12" showDropDown="0" showInputMessage="0" showErrorMessage="0" allowBlank="1" type="list">
      <formula1>"S1 Critical,S2 High,S3 Medium,S4 Low"</formula1>
    </dataValidation>
    <dataValidation sqref="U4:U12" showDropDown="0" showInputMessage="0" showErrorMessage="0" allowBlank="1" type="list">
      <formula1>"Manual,Automated,Candidate,Not Applicable"</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V15"/>
  <sheetViews>
    <sheetView showGridLines="0"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4" customWidth="1" min="2" max="2"/>
    <col width="14" customWidth="1" min="3" max="3"/>
    <col width="42" customWidth="1" min="4" max="4"/>
    <col width="10" customWidth="1" min="5" max="5"/>
    <col width="23" customWidth="1" min="6" max="6"/>
    <col width="18" customWidth="1" min="7" max="7"/>
    <col width="50" customWidth="1" min="8" max="8"/>
    <col width="48" customWidth="1" min="9" max="9"/>
    <col width="50" customWidth="1" min="10" max="10"/>
    <col width="70" customWidth="1" min="11" max="11"/>
    <col width="62" customWidth="1" min="12" max="12"/>
    <col width="46" customWidth="1" min="13" max="13"/>
    <col width="50" customWidth="1" min="14" max="14"/>
    <col width="13" customWidth="1" min="15" max="15"/>
    <col width="16" customWidth="1" min="16" max="16"/>
    <col width="16" customWidth="1" min="17" max="17"/>
    <col width="18" customWidth="1" min="18" max="18"/>
    <col width="14" customWidth="1" min="19" max="19"/>
    <col width="30" customWidth="1" min="20" max="20"/>
    <col width="16" customWidth="1" min="21" max="21"/>
    <col width="34" customWidth="1" min="22" max="22"/>
  </cols>
  <sheetData>
    <row r="1" ht="32" customHeight="1">
      <c r="A1" s="1" t="inlineStr">
        <is>
          <t>UC-COM-07 – Quản lý tài khoản cá nhân</t>
        </is>
      </c>
    </row>
    <row r="2" ht="30" customHeight="1">
      <c r="A2" s="2" t="inlineStr">
        <is>
          <t>Nguồn: COMMON_SERVICES_TEST_PLAN.md | 12 test case</t>
        </is>
      </c>
    </row>
    <row r="3" ht="38" customHeight="1">
      <c r="A3" s="3" t="inlineStr">
        <is>
          <t>STT</t>
        </is>
      </c>
      <c r="B3" s="3" t="inlineStr">
        <is>
          <t>Test Case ID</t>
        </is>
      </c>
      <c r="C3" s="3" t="inlineStr">
        <is>
          <t>UC ID</t>
        </is>
      </c>
      <c r="D3" s="3" t="inlineStr">
        <is>
          <t>Tên test case</t>
        </is>
      </c>
      <c r="E3" s="3" t="inlineStr">
        <is>
          <t>Priority</t>
        </is>
      </c>
      <c r="F3" s="3" t="inlineStr">
        <is>
          <t>Loại kiểm thử</t>
        </is>
      </c>
      <c r="G3" s="3" t="inlineStr">
        <is>
          <t>Lớp</t>
        </is>
      </c>
      <c r="H3" s="3" t="inlineStr">
        <is>
          <t>Endpoint/API</t>
        </is>
      </c>
      <c r="I3" s="3" t="inlineStr">
        <is>
          <t>Điều kiện trước</t>
        </is>
      </c>
      <c r="J3" s="3" t="inlineStr">
        <is>
          <t>Dữ liệu kiểm thử</t>
        </is>
      </c>
      <c r="K3" s="3" t="inlineStr">
        <is>
          <t>Các bước thực hiện</t>
        </is>
      </c>
      <c r="L3" s="3" t="inlineStr">
        <is>
          <t>Kết quả mong đợi</t>
        </is>
      </c>
      <c r="M3" s="3" t="inlineStr">
        <is>
          <t>Hậu điều kiện cần kiểm tra</t>
        </is>
      </c>
      <c r="N3" s="3" t="inlineStr">
        <is>
          <t>Actual Result</t>
        </is>
      </c>
      <c r="O3" s="3" t="inlineStr">
        <is>
          <t>Status</t>
        </is>
      </c>
      <c r="P3" s="3" t="inlineStr">
        <is>
          <t>Severity nếu lỗi</t>
        </is>
      </c>
      <c r="Q3" s="3" t="inlineStr">
        <is>
          <t>Defect ID</t>
        </is>
      </c>
      <c r="R3" s="3" t="inlineStr">
        <is>
          <t>Tester</t>
        </is>
      </c>
      <c r="S3" s="3" t="inlineStr">
        <is>
          <t>Ngày chạy</t>
        </is>
      </c>
      <c r="T3" s="3" t="inlineStr">
        <is>
          <t>Evidence/Link</t>
        </is>
      </c>
      <c r="U3" s="3" t="inlineStr">
        <is>
          <t>Automation</t>
        </is>
      </c>
      <c r="V3" s="3" t="inlineStr">
        <is>
          <t>Ghi chú</t>
        </is>
      </c>
    </row>
    <row r="4" ht="132" customHeight="1">
      <c r="A4" s="4" t="n">
        <v>1</v>
      </c>
      <c r="B4" s="14" t="inlineStr">
        <is>
          <t>COM07-01</t>
        </is>
      </c>
      <c r="C4" s="4" t="inlineStr">
        <is>
          <t>UC-COM-07</t>
        </is>
      </c>
      <c r="D4" s="4" t="inlineStr">
        <is>
          <t>GET hồ sơ với JWT hợp lệ</t>
        </is>
      </c>
      <c r="E4" s="19" t="inlineStr">
        <is>
          <t>P1</t>
        </is>
      </c>
      <c r="F4" s="4" t="inlineStr">
        <is>
          <t>Functional</t>
        </is>
      </c>
      <c r="G4" s="4" t="inlineStr">
        <is>
          <t>API + UI/E2E</t>
        </is>
      </c>
      <c r="H4" s="4" t="inlineStr">
        <is>
          <t>GET|PATCH /api/v1/common/profile/
POST /api/v1/common/profile/confirm-email/</t>
        </is>
      </c>
      <c r="I4" s="4" t="inlineStr">
        <is>
          <t>U3 đã đăng nhập; có user khác để kiểm tra phone/email trùng; media storage ghi được.</t>
        </is>
      </c>
      <c r="J4" s="4" t="inlineStr">
        <is>
          <t>display_name=Nguyễn Văn QA; phone=0901234567; avatar=valid.png/invalid.jpg</t>
        </is>
      </c>
      <c r="K4" s="4" t="inlineStr">
        <is>
          <t>1. Chuẩn bị dữ liệu đúng mục 'Điều kiện trước' và ghi lại các ID ban đầu.
2. Đăng nhập bằng đúng actor/role và chọn company/branch theo điều kiện trước.
3. Thực hiện kịch bản: GET hồ sơ với JWT hợp lệ.
4. Ghi lại HTTP status, response body và thông báo/điều hướng trên UI (nếu có).
5. Tải lại profile/DB/media, kiểm tra field read-only, audit và dữ liệu không bị cập nhật một phần.
6. So sánh toàn bộ kết quả với cột 'Kết quả mong đợi' và đính kèm evidence nếu Fail/Blocked.</t>
        </is>
      </c>
      <c r="L4" s="4" t="inlineStr">
        <is>
          <t>Trả đúng dữ liệu của user hiện tại; không trả hash/password/token</t>
        </is>
      </c>
      <c r="M4" s="4" t="inlineStr">
        <is>
          <t>Profile/preference/media/audit nhất quán và không lộ dữ liệu nhạy cảm.</t>
        </is>
      </c>
      <c r="N4" s="4" t="inlineStr"/>
      <c r="O4" s="16" t="inlineStr">
        <is>
          <t>Not Run</t>
        </is>
      </c>
      <c r="P4" s="4" t="inlineStr"/>
      <c r="Q4" s="4" t="inlineStr"/>
      <c r="R4" s="4" t="inlineStr"/>
      <c r="S4" s="4" t="inlineStr"/>
      <c r="T4" s="4" t="inlineStr"/>
      <c r="U4" s="4" t="inlineStr">
        <is>
          <t>Candidate</t>
        </is>
      </c>
      <c r="V4" s="4" t="inlineStr"/>
    </row>
    <row r="5" ht="132" customHeight="1">
      <c r="A5" s="5" t="n">
        <v>2</v>
      </c>
      <c r="B5" s="17" t="inlineStr">
        <is>
          <t>COM07-02</t>
        </is>
      </c>
      <c r="C5" s="5" t="inlineStr">
        <is>
          <t>UC-COM-07</t>
        </is>
      </c>
      <c r="D5" s="5" t="inlineStr">
        <is>
          <t>PATCH display_name, phone, first_name, last_name hợp lệ</t>
        </is>
      </c>
      <c r="E5" s="19" t="inlineStr">
        <is>
          <t>P1</t>
        </is>
      </c>
      <c r="F5" s="5" t="inlineStr">
        <is>
          <t>Functional</t>
        </is>
      </c>
      <c r="G5" s="5" t="inlineStr">
        <is>
          <t>API + UI/E2E</t>
        </is>
      </c>
      <c r="H5" s="5" t="inlineStr">
        <is>
          <t>GET|PATCH /api/v1/common/profile/
POST /api/v1/common/profile/confirm-email/</t>
        </is>
      </c>
      <c r="I5" s="5" t="inlineStr">
        <is>
          <t>U3 đã đăng nhập; có user khác để kiểm tra phone/email trùng; media storage ghi được.</t>
        </is>
      </c>
      <c r="J5" s="5" t="inlineStr">
        <is>
          <t>display_name=Nguyễn Văn QA; phone=0901234567; avatar=valid.png/invalid.jpg</t>
        </is>
      </c>
      <c r="K5" s="5" t="inlineStr">
        <is>
          <t>1. Chuẩn bị dữ liệu đúng mục 'Điều kiện trước' và ghi lại các ID ban đầu.
2. Đăng nhập bằng đúng actor/role và chọn company/branch theo điều kiện trước.
3. Thực hiện kịch bản: PATCH display_name, phone, first_name, last_name hợp lệ.
4. Ghi lại HTTP status, response body và thông báo/điều hướng trên UI (nếu có).
5. Tải lại profile/DB/media, kiểm tra field read-only, audit và dữ liệu không bị cập nhật một phần.
6. So sánh toàn bộ kết quả với cột 'Kết quả mong đợi' và đính kèm evidence nếu Fail/Blocked.</t>
        </is>
      </c>
      <c r="L5" s="5" t="inlineStr">
        <is>
          <t>200; chuẩn hóa display name; DB và response đồng nhất; ghi audit cho các membership</t>
        </is>
      </c>
      <c r="M5" s="5" t="inlineStr">
        <is>
          <t>Profile/preference/media/audit nhất quán và không lộ dữ liệu nhạy cảm.</t>
        </is>
      </c>
      <c r="N5" s="5" t="inlineStr"/>
      <c r="O5" s="18" t="inlineStr">
        <is>
          <t>Not Run</t>
        </is>
      </c>
      <c r="P5" s="5" t="inlineStr"/>
      <c r="Q5" s="5" t="inlineStr"/>
      <c r="R5" s="5" t="inlineStr"/>
      <c r="S5" s="5" t="inlineStr"/>
      <c r="T5" s="5" t="inlineStr"/>
      <c r="U5" s="5" t="inlineStr">
        <is>
          <t>Candidate</t>
        </is>
      </c>
      <c r="V5" s="5" t="inlineStr"/>
    </row>
    <row r="6" ht="132" customHeight="1">
      <c r="A6" s="4" t="n">
        <v>3</v>
      </c>
      <c r="B6" s="14" t="inlineStr">
        <is>
          <t>COM07-03</t>
        </is>
      </c>
      <c r="C6" s="4" t="inlineStr">
        <is>
          <t>UC-COM-07</t>
        </is>
      </c>
      <c r="D6" s="4" t="inlineStr">
        <is>
          <t>Cố sửa email/username/status/id qua PATCH</t>
        </is>
      </c>
      <c r="E6" s="15" t="inlineStr">
        <is>
          <t>P0</t>
        </is>
      </c>
      <c r="F6" s="4" t="inlineStr">
        <is>
          <t>Functional</t>
        </is>
      </c>
      <c r="G6" s="4" t="inlineStr">
        <is>
          <t>API + UI/E2E</t>
        </is>
      </c>
      <c r="H6" s="4" t="inlineStr">
        <is>
          <t>GET|PATCH /api/v1/common/profile/
POST /api/v1/common/profile/confirm-email/</t>
        </is>
      </c>
      <c r="I6" s="4" t="inlineStr">
        <is>
          <t>U3 đã đăng nhập; có user khác để kiểm tra phone/email trùng; media storage ghi được.</t>
        </is>
      </c>
      <c r="J6" s="4" t="inlineStr">
        <is>
          <t>display_name=Nguyễn Văn QA; phone=0901234567; avatar=valid.png/invalid.jpg
Bổ sung: AI stub hỗ trợ success, timeout, HTTP 500, invalid JSON và oversized response</t>
        </is>
      </c>
      <c r="K6" s="4" t="inlineStr">
        <is>
          <t>1. Chuẩn bị dữ liệu đúng mục 'Điều kiện trước' và ghi lại các ID ban đầu.
2. Đăng nhập bằng đúng actor/role và chọn company/branch theo điều kiện trước.
3. Thực hiện kịch bản: Cố sửa email/username/status/id qua PATCH.
4. Ghi lại HTTP status, response body và thông báo/điều hướng trên UI (nếu có).
5. Tải lại profile/DB/media, kiểm tra field read-only, audit và dữ liệu không bị cập nhật một phần.
6. So sánh toàn bộ kết quả với cột 'Kết quả mong đợi' và đính kèm evidence nếu Fail/Blocked.</t>
        </is>
      </c>
      <c r="L6" s="4" t="inlineStr">
        <is>
          <t>400 hoặc bỏ qua an toàn theo hợp đồng; không thay đổi field read-only</t>
        </is>
      </c>
      <c r="M6" s="4" t="inlineStr">
        <is>
          <t>Profile/preference/media/audit nhất quán và không lộ dữ liệu nhạy cảm.</t>
        </is>
      </c>
      <c r="N6" s="4" t="inlineStr"/>
      <c r="O6" s="16" t="inlineStr">
        <is>
          <t>Not Run</t>
        </is>
      </c>
      <c r="P6" s="4" t="inlineStr"/>
      <c r="Q6" s="4" t="inlineStr"/>
      <c r="R6" s="4" t="inlineStr"/>
      <c r="S6" s="4" t="inlineStr"/>
      <c r="T6" s="4" t="inlineStr"/>
      <c r="U6" s="4" t="inlineStr">
        <is>
          <t>Candidate</t>
        </is>
      </c>
      <c r="V6" s="4" t="inlineStr"/>
    </row>
    <row r="7" ht="132" customHeight="1">
      <c r="A7" s="5" t="n">
        <v>4</v>
      </c>
      <c r="B7" s="17" t="inlineStr">
        <is>
          <t>COM07-04</t>
        </is>
      </c>
      <c r="C7" s="5" t="inlineStr">
        <is>
          <t>UC-COM-07</t>
        </is>
      </c>
      <c r="D7" s="5" t="inlineStr">
        <is>
          <t>Phone sai định dạng hoặc trùng user khác</t>
        </is>
      </c>
      <c r="E7" s="19" t="inlineStr">
        <is>
          <t>P1</t>
        </is>
      </c>
      <c r="F7" s="5" t="inlineStr">
        <is>
          <t>Security/Authorization</t>
        </is>
      </c>
      <c r="G7" s="5" t="inlineStr">
        <is>
          <t>API + Integration</t>
        </is>
      </c>
      <c r="H7" s="5" t="inlineStr">
        <is>
          <t>GET|PATCH /api/v1/common/profile/
POST /api/v1/common/profile/confirm-email/</t>
        </is>
      </c>
      <c r="I7" s="5" t="inlineStr">
        <is>
          <t>U3 đã đăng nhập; có user khác để kiểm tra phone/email trùng; media storage ghi được.</t>
        </is>
      </c>
      <c r="J7" s="5" t="inlineStr">
        <is>
          <t>display_name=Nguyễn Văn QA; phone=0901234567; avatar=valid.png/invalid.jpg
Bổ sung: Chuẩn bị trước một bản ghi có cùng giá trị cần kiểm tra; AI stub hỗ trợ success, timeout, HTTP 500, invalid JSON và oversized response</t>
        </is>
      </c>
      <c r="K7" s="5" t="inlineStr">
        <is>
          <t>1. Chuẩn bị dữ liệu đúng mục 'Điều kiện trước' và ghi lại các ID ban đầu.
2. Đăng nhập bằng đúng actor/role và chọn company/branch theo điều kiện trước.
3. Thực hiện kịch bản: Phone sai định dạng hoặc trùng user khác.
4. Ghi lại HTTP status, response body và thông báo/điều hướng trên UI (nếu có).
5. Tải lại profile/DB/media, kiểm tra field read-only, audit và dữ liệu không bị cập nhật một phần.
6. So sánh toàn bộ kết quả với cột 'Kết quả mong đợi' và đính kèm evidence nếu Fail/Blocked.</t>
        </is>
      </c>
      <c r="L7" s="5" t="inlineStr">
        <is>
          <t>400; không cập nhật một phần</t>
        </is>
      </c>
      <c r="M7" s="5" t="inlineStr">
        <is>
          <t>Profile/preference/media/audit nhất quán và không lộ dữ liệu nhạy cảm.</t>
        </is>
      </c>
      <c r="N7" s="5" t="inlineStr"/>
      <c r="O7" s="18" t="inlineStr">
        <is>
          <t>Not Run</t>
        </is>
      </c>
      <c r="P7" s="5" t="inlineStr"/>
      <c r="Q7" s="5" t="inlineStr"/>
      <c r="R7" s="5" t="inlineStr"/>
      <c r="S7" s="5" t="inlineStr"/>
      <c r="T7" s="5" t="inlineStr"/>
      <c r="U7" s="5" t="inlineStr">
        <is>
          <t>Candidate</t>
        </is>
      </c>
      <c r="V7" s="5" t="inlineStr"/>
    </row>
    <row r="8" ht="132" customHeight="1">
      <c r="A8" s="4" t="n">
        <v>5</v>
      </c>
      <c r="B8" s="14" t="inlineStr">
        <is>
          <t>COM07-05</t>
        </is>
      </c>
      <c r="C8" s="4" t="inlineStr">
        <is>
          <t>UC-COM-07</t>
        </is>
      </c>
      <c r="D8" s="4" t="inlineStr">
        <is>
          <t>PATCH body không có field cho phép</t>
        </is>
      </c>
      <c r="E8" s="19" t="inlineStr">
        <is>
          <t>P1</t>
        </is>
      </c>
      <c r="F8" s="4" t="inlineStr">
        <is>
          <t>Functional</t>
        </is>
      </c>
      <c r="G8" s="4" t="inlineStr">
        <is>
          <t>API + UI/E2E</t>
        </is>
      </c>
      <c r="H8" s="4" t="inlineStr">
        <is>
          <t>GET|PATCH /api/v1/common/profile/
POST /api/v1/common/profile/confirm-email/</t>
        </is>
      </c>
      <c r="I8" s="4" t="inlineStr">
        <is>
          <t>U3 đã đăng nhập; có user khác để kiểm tra phone/email trùng; media storage ghi được.</t>
        </is>
      </c>
      <c r="J8" s="4" t="inlineStr">
        <is>
          <t>display_name=Nguyễn Văn QA; phone=0901234567; avatar=valid.png/invalid.jpg</t>
        </is>
      </c>
      <c r="K8" s="4" t="inlineStr">
        <is>
          <t>1. Chuẩn bị dữ liệu đúng mục 'Điều kiện trước' và ghi lại các ID ban đầu.
2. Đăng nhập bằng đúng actor/role và chọn company/branch theo điều kiện trước.
3. Thực hiện kịch bản: PATCH body không có field cho phép.
4. Ghi lại HTTP status, response body và thông báo/điều hướng trên UI (nếu có).
5. Tải lại profile/DB/media, kiểm tra field read-only, audit và dữ liệu không bị cập nhật một phần.
6. So sánh toàn bộ kết quả với cột 'Kết quả mong đợi' và đính kèm evidence nếu Fail/Blocked.</t>
        </is>
      </c>
      <c r="L8" s="4" t="inlineStr">
        <is>
          <t>400 Không có thông tin hồ sơ nào được thay đổi</t>
        </is>
      </c>
      <c r="M8" s="4" t="inlineStr">
        <is>
          <t>Profile/preference/media/audit nhất quán và không lộ dữ liệu nhạy cảm.</t>
        </is>
      </c>
      <c r="N8" s="4" t="inlineStr"/>
      <c r="O8" s="16" t="inlineStr">
        <is>
          <t>Not Run</t>
        </is>
      </c>
      <c r="P8" s="4" t="inlineStr"/>
      <c r="Q8" s="4" t="inlineStr"/>
      <c r="R8" s="4" t="inlineStr"/>
      <c r="S8" s="4" t="inlineStr"/>
      <c r="T8" s="4" t="inlineStr"/>
      <c r="U8" s="4" t="inlineStr">
        <is>
          <t>Candidate</t>
        </is>
      </c>
      <c r="V8" s="4" t="inlineStr"/>
    </row>
    <row r="9" ht="132" customHeight="1">
      <c r="A9" s="5" t="n">
        <v>6</v>
      </c>
      <c r="B9" s="17" t="inlineStr">
        <is>
          <t>COM07-06</t>
        </is>
      </c>
      <c r="C9" s="5" t="inlineStr">
        <is>
          <t>UC-COM-07</t>
        </is>
      </c>
      <c r="D9" s="5" t="inlineStr">
        <is>
          <t>Upload JPEG/PNG thật &lt;= 5 MB</t>
        </is>
      </c>
      <c r="E9" s="19" t="inlineStr">
        <is>
          <t>P1</t>
        </is>
      </c>
      <c r="F9" s="5" t="inlineStr">
        <is>
          <t>Functional</t>
        </is>
      </c>
      <c r="G9" s="5" t="inlineStr">
        <is>
          <t>API + UI/E2E</t>
        </is>
      </c>
      <c r="H9" s="5" t="inlineStr">
        <is>
          <t>GET|PATCH /api/v1/common/profile/
POST /api/v1/common/profile/confirm-email/</t>
        </is>
      </c>
      <c r="I9" s="5" t="inlineStr">
        <is>
          <t>U3 đã đăng nhập; có user khác để kiểm tra phone/email trùng; media storage ghi được.</t>
        </is>
      </c>
      <c r="J9" s="5" t="inlineStr">
        <is>
          <t>display_name=Nguyễn Văn QA; phone=0901234567; avatar=valid.png/invalid.jpg</t>
        </is>
      </c>
      <c r="K9" s="5" t="inlineStr">
        <is>
          <t>1. Chuẩn bị dữ liệu đúng mục 'Điều kiện trước' và ghi lại các ID ban đầu.
2. Đăng nhập bằng đúng actor/role và chọn company/branch theo điều kiện trước.
3. Thực hiện kịch bản: Upload JPEG/PNG thật &lt;= 5 MB.
4. Ghi lại HTTP status, response body và thông báo/điều hướng trên UI (nếu có).
5. Tải lại profile/DB/media, kiểm tra field read-only, audit và dữ liệu không bị cập nhật một phần.
6. So sánh toàn bộ kết quả với cột 'Kết quả mong đợi' và đính kèm evidence nếu Fail/Blocked.</t>
        </is>
      </c>
      <c r="L9" s="5" t="inlineStr">
        <is>
          <t>Lưu avatar; trả URL hợp lệ và truy cập đúng quyền/cấu hình media</t>
        </is>
      </c>
      <c r="M9" s="5" t="inlineStr">
        <is>
          <t>Profile/preference/media/audit nhất quán và không lộ dữ liệu nhạy cảm.</t>
        </is>
      </c>
      <c r="N9" s="5" t="inlineStr"/>
      <c r="O9" s="18" t="inlineStr">
        <is>
          <t>Not Run</t>
        </is>
      </c>
      <c r="P9" s="5" t="inlineStr"/>
      <c r="Q9" s="5" t="inlineStr"/>
      <c r="R9" s="5" t="inlineStr"/>
      <c r="S9" s="5" t="inlineStr"/>
      <c r="T9" s="5" t="inlineStr"/>
      <c r="U9" s="5" t="inlineStr">
        <is>
          <t>Candidate</t>
        </is>
      </c>
      <c r="V9" s="5" t="inlineStr"/>
    </row>
    <row r="10" ht="132" customHeight="1">
      <c r="A10" s="4" t="n">
        <v>7</v>
      </c>
      <c r="B10" s="14" t="inlineStr">
        <is>
          <t>COM07-07</t>
        </is>
      </c>
      <c r="C10" s="4" t="inlineStr">
        <is>
          <t>UC-COM-07</t>
        </is>
      </c>
      <c r="D10" s="4" t="inlineStr">
        <is>
          <t>File giả mạo extension, sai magic bytes hoặc &gt; 5 MB</t>
        </is>
      </c>
      <c r="E10" s="15" t="inlineStr">
        <is>
          <t>P0</t>
        </is>
      </c>
      <c r="F10" s="4" t="inlineStr">
        <is>
          <t>Functional</t>
        </is>
      </c>
      <c r="G10" s="4" t="inlineStr">
        <is>
          <t>API + UI/E2E</t>
        </is>
      </c>
      <c r="H10" s="4" t="inlineStr">
        <is>
          <t>GET|PATCH /api/v1/common/profile/
POST /api/v1/common/profile/confirm-email/</t>
        </is>
      </c>
      <c r="I10" s="4" t="inlineStr">
        <is>
          <t>U3 đã đăng nhập; có user khác để kiểm tra phone/email trùng; media storage ghi được.</t>
        </is>
      </c>
      <c r="J10" s="4" t="inlineStr">
        <is>
          <t>display_name=Nguyễn Văn QA; phone=0901234567; avatar=valid.png/invalid.jpg
Bổ sung: valid.png; valid.jpg; fake.jpg chứa text; oversized.png &gt; 5 MB; AI stub hỗ trợ success, timeout, HTTP 500, invalid JSON và oversized response</t>
        </is>
      </c>
      <c r="K10" s="4" t="inlineStr">
        <is>
          <t>1. Chuẩn bị dữ liệu đúng mục 'Điều kiện trước' và ghi lại các ID ban đầu.
2. Đăng nhập bằng đúng actor/role và chọn company/branch theo điều kiện trước.
3. Thực hiện kịch bản: File giả mạo extension, sai magic bytes hoặc &gt; 5 MB.
4. Ghi lại HTTP status, response body và thông báo/điều hướng trên UI (nếu có).
5. Tải lại profile/DB/media, kiểm tra field read-only, audit và dữ liệu không bị cập nhật một phần.
6. So sánh toàn bộ kết quả với cột 'Kết quả mong đợi' và đính kèm evidence nếu Fail/Blocked.</t>
        </is>
      </c>
      <c r="L10" s="4" t="inlineStr">
        <is>
          <t>400; không lưu file; không thực thi nội dung</t>
        </is>
      </c>
      <c r="M10" s="4" t="inlineStr">
        <is>
          <t>Profile/preference/media/audit nhất quán và không lộ dữ liệu nhạy cảm.</t>
        </is>
      </c>
      <c r="N10" s="4" t="inlineStr"/>
      <c r="O10" s="16" t="inlineStr">
        <is>
          <t>Not Run</t>
        </is>
      </c>
      <c r="P10" s="4" t="inlineStr"/>
      <c r="Q10" s="4" t="inlineStr"/>
      <c r="R10" s="4" t="inlineStr"/>
      <c r="S10" s="4" t="inlineStr"/>
      <c r="T10" s="4" t="inlineStr"/>
      <c r="U10" s="4" t="inlineStr">
        <is>
          <t>Candidate</t>
        </is>
      </c>
      <c r="V10" s="4" t="inlineStr"/>
    </row>
    <row r="11" ht="132" customHeight="1">
      <c r="A11" s="5" t="n">
        <v>8</v>
      </c>
      <c r="B11" s="17" t="inlineStr">
        <is>
          <t>COM07-08</t>
        </is>
      </c>
      <c r="C11" s="5" t="inlineStr">
        <is>
          <t>UC-COM-07</t>
        </is>
      </c>
      <c r="D11" s="5" t="inlineStr">
        <is>
          <t>remove_avatar=true</t>
        </is>
      </c>
      <c r="E11" s="19" t="inlineStr">
        <is>
          <t>P1</t>
        </is>
      </c>
      <c r="F11" s="5" t="inlineStr">
        <is>
          <t>UI/Validation</t>
        </is>
      </c>
      <c r="G11" s="5" t="inlineStr">
        <is>
          <t>UI + API</t>
        </is>
      </c>
      <c r="H11" s="5" t="inlineStr">
        <is>
          <t>GET|PATCH /api/v1/common/profile/
POST /api/v1/common/profile/confirm-email/</t>
        </is>
      </c>
      <c r="I11" s="5" t="inlineStr">
        <is>
          <t>U3 đã đăng nhập; có user khác để kiểm tra phone/email trùng; media storage ghi được.</t>
        </is>
      </c>
      <c r="J11" s="5" t="inlineStr">
        <is>
          <t>display_name=Nguyễn Văn QA; phone=0901234567; avatar=valid.png/invalid.jpg
Bổ sung: valid.png; valid.jpg; fake.jpg chứa text; oversized.png &gt; 5 MB</t>
        </is>
      </c>
      <c r="K11" s="5" t="inlineStr">
        <is>
          <t>1. Chuẩn bị dữ liệu đúng mục 'Điều kiện trước' và ghi lại các ID ban đầu.
2. Đăng nhập bằng đúng actor/role và chọn company/branch theo điều kiện trước.
3. Thực hiện kịch bản: remove_avatar=true.
4. Ghi lại HTTP status, response body và thông báo/điều hướng trên UI (nếu có).
5. Tải lại profile/DB/media, kiểm tra field read-only, audit và dữ liệu không bị cập nhật một phần.
6. So sánh toàn bộ kết quả với cột 'Kết quả mong đợi' và đính kèm evidence nếu Fail/Blocked.</t>
        </is>
      </c>
      <c r="L11" s="5" t="inlineStr">
        <is>
          <t>Gỡ liên kết avatar; response avatar_url=null; xử lý file vật lý theo chính sách</t>
        </is>
      </c>
      <c r="M11" s="5" t="inlineStr">
        <is>
          <t>Profile/preference/media/audit nhất quán và không lộ dữ liệu nhạy cảm.</t>
        </is>
      </c>
      <c r="N11" s="5" t="inlineStr"/>
      <c r="O11" s="18" t="inlineStr">
        <is>
          <t>Not Run</t>
        </is>
      </c>
      <c r="P11" s="5" t="inlineStr"/>
      <c r="Q11" s="5" t="inlineStr"/>
      <c r="R11" s="5" t="inlineStr"/>
      <c r="S11" s="5" t="inlineStr"/>
      <c r="T11" s="5" t="inlineStr"/>
      <c r="U11" s="5" t="inlineStr">
        <is>
          <t>Candidate</t>
        </is>
      </c>
      <c r="V11" s="5" t="inlineStr"/>
    </row>
    <row r="12" ht="132" customHeight="1">
      <c r="A12" s="4" t="n">
        <v>9</v>
      </c>
      <c r="B12" s="14" t="inlineStr">
        <is>
          <t>COM07-09</t>
        </is>
      </c>
      <c r="C12" s="4" t="inlineStr">
        <is>
          <t>UC-COM-07</t>
        </is>
      </c>
      <c r="D12" s="4" t="inlineStr">
        <is>
          <t>Optimistic locking với version cũ</t>
        </is>
      </c>
      <c r="E12" s="19" t="inlineStr">
        <is>
          <t>P1</t>
        </is>
      </c>
      <c r="F12" s="4" t="inlineStr">
        <is>
          <t>Functional</t>
        </is>
      </c>
      <c r="G12" s="4" t="inlineStr">
        <is>
          <t>API + UI/E2E</t>
        </is>
      </c>
      <c r="H12" s="4" t="inlineStr">
        <is>
          <t>GET|PATCH /api/v1/common/profile/
POST /api/v1/common/profile/confirm-email/</t>
        </is>
      </c>
      <c r="I12" s="4" t="inlineStr">
        <is>
          <t>U3 đã đăng nhập; có user khác để kiểm tra phone/email trùng; media storage ghi được.</t>
        </is>
      </c>
      <c r="J12" s="4" t="inlineStr">
        <is>
          <t>display_name=Nguyễn Văn QA; phone=0901234567; avatar=valid.png/invalid.jpg</t>
        </is>
      </c>
      <c r="K12" s="4" t="inlineStr">
        <is>
          <t>1. Chuẩn bị dữ liệu đúng mục 'Điều kiện trước' và ghi lại các ID ban đầu.
2. Đăng nhập bằng đúng actor/role và chọn company/branch theo điều kiện trước.
3. Thực hiện kịch bản: Optimistic locking với version cũ.
4. Ghi lại HTTP status, response body và thông báo/điều hướng trên UI (nếu có).
5. Tải lại profile/DB/media, kiểm tra field read-only, audit và dữ liệu không bị cập nhật một phần.
6. So sánh toàn bộ kết quả với cột 'Kết quả mong đợi' và đính kèm evidence nếu Fail/Blocked.</t>
        </is>
      </c>
      <c r="L12" s="4" t="inlineStr">
        <is>
          <t>400; không ghi đè thay đổi từ phiên khác</t>
        </is>
      </c>
      <c r="M12" s="4" t="inlineStr">
        <is>
          <t>Profile/preference/media/audit nhất quán và không lộ dữ liệu nhạy cảm.</t>
        </is>
      </c>
      <c r="N12" s="4" t="inlineStr"/>
      <c r="O12" s="16" t="inlineStr">
        <is>
          <t>Not Run</t>
        </is>
      </c>
      <c r="P12" s="4" t="inlineStr"/>
      <c r="Q12" s="4" t="inlineStr"/>
      <c r="R12" s="4" t="inlineStr"/>
      <c r="S12" s="4" t="inlineStr"/>
      <c r="T12" s="4" t="inlineStr"/>
      <c r="U12" s="4" t="inlineStr">
        <is>
          <t>Candidate</t>
        </is>
      </c>
      <c r="V12" s="4" t="inlineStr"/>
    </row>
    <row r="13" ht="132" customHeight="1">
      <c r="A13" s="5" t="n">
        <v>10</v>
      </c>
      <c r="B13" s="17" t="inlineStr">
        <is>
          <t>COM07-10</t>
        </is>
      </c>
      <c r="C13" s="5" t="inlineStr">
        <is>
          <t>UC-COM-07</t>
        </is>
      </c>
      <c r="D13" s="5" t="inlineStr">
        <is>
          <t>Hai PATCH đồng thời với cùng version</t>
        </is>
      </c>
      <c r="E13" s="19" t="inlineStr">
        <is>
          <t>P1</t>
        </is>
      </c>
      <c r="F13" s="5" t="inlineStr">
        <is>
          <t>Concurrency/Idempotency</t>
        </is>
      </c>
      <c r="G13" s="5" t="inlineStr">
        <is>
          <t>Integration</t>
        </is>
      </c>
      <c r="H13" s="5" t="inlineStr">
        <is>
          <t>GET|PATCH /api/v1/common/profile/
POST /api/v1/common/profile/confirm-email/</t>
        </is>
      </c>
      <c r="I13" s="5" t="inlineStr">
        <is>
          <t>U3 đã đăng nhập; có user khác để kiểm tra phone/email trùng; media storage ghi được.</t>
        </is>
      </c>
      <c r="J13" s="5" t="inlineStr">
        <is>
          <t>display_name=Nguyễn Văn QA; phone=0901234567; avatar=valid.png/invalid.jpg
Bổ sung: Dùng hai client/worker gửi request cùng thời điểm; AI stub hỗ trợ success, timeout, HTTP 500, invalid JSON và oversized response</t>
        </is>
      </c>
      <c r="K13" s="5" t="inlineStr">
        <is>
          <t>1. Chuẩn bị dữ liệu đúng mục 'Điều kiện trước' và ghi lại các ID ban đầu.
2. Đăng nhập bằng đúng actor/role và chọn company/branch theo điều kiện trước.
3. Thực hiện kịch bản: Hai PATCH đồng thời với cùng version.
4. Ghi lại HTTP status, response body và thông báo/điều hướng trên UI (nếu có).
5. Tải lại profile/DB/media, kiểm tra field read-only, audit và dữ liệu không bị cập nhật một phần.
6. So sánh toàn bộ kết quả với cột 'Kết quả mong đợi' và đính kèm evidence nếu Fail/Blocked.</t>
        </is>
      </c>
      <c r="L13" s="5" t="inlineStr">
        <is>
          <t>Chỉ một cập nhật thắng; request còn lại nhận conflict/validation</t>
        </is>
      </c>
      <c r="M13" s="5" t="inlineStr">
        <is>
          <t>Profile/preference/media/audit nhất quán và không lộ dữ liệu nhạy cảm.</t>
        </is>
      </c>
      <c r="N13" s="5" t="inlineStr"/>
      <c r="O13" s="18" t="inlineStr">
        <is>
          <t>Not Run</t>
        </is>
      </c>
      <c r="P13" s="5" t="inlineStr"/>
      <c r="Q13" s="5" t="inlineStr"/>
      <c r="R13" s="5" t="inlineStr"/>
      <c r="S13" s="5" t="inlineStr"/>
      <c r="T13" s="5" t="inlineStr"/>
      <c r="U13" s="5" t="inlineStr">
        <is>
          <t>Candidate</t>
        </is>
      </c>
      <c r="V13" s="5" t="inlineStr"/>
    </row>
    <row r="14" ht="132" customHeight="1">
      <c r="A14" s="4" t="n">
        <v>11</v>
      </c>
      <c r="B14" s="14" t="inlineStr">
        <is>
          <t>COM07-11</t>
        </is>
      </c>
      <c r="C14" s="4" t="inlineStr">
        <is>
          <t>UC-COM-07</t>
        </is>
      </c>
      <c r="D14" s="4" t="inlineStr">
        <is>
          <t>Confirm email challenge của user khác/sai/hết hạn</t>
        </is>
      </c>
      <c r="E14" s="15" t="inlineStr">
        <is>
          <t>P0</t>
        </is>
      </c>
      <c r="F14" s="4" t="inlineStr">
        <is>
          <t>Security/Authorization</t>
        </is>
      </c>
      <c r="G14" s="4" t="inlineStr">
        <is>
          <t>API + Integration</t>
        </is>
      </c>
      <c r="H14" s="4" t="inlineStr">
        <is>
          <t>GET|PATCH /api/v1/common/profile/
POST /api/v1/common/profile/confirm-email/</t>
        </is>
      </c>
      <c r="I14" s="4" t="inlineStr">
        <is>
          <t>U3 đã đăng nhập; có user khác để kiểm tra phone/email trùng; media storage ghi được.</t>
        </is>
      </c>
      <c r="J14" s="4" t="inlineStr">
        <is>
          <t>display_name=Nguyễn Văn QA; phone=0901234567; avatar=valid.png/invalid.jpg
Bổ sung: Điều chỉnh expires_at về quá khứ bằng fixture/admin test; AI stub hỗ trợ success, timeout, HTTP 500, invalid JSON và oversized response</t>
        </is>
      </c>
      <c r="K14" s="4" t="inlineStr">
        <is>
          <t>1. Chuẩn bị dữ liệu đúng mục 'Điều kiện trước' và ghi lại các ID ban đầu.
2. Đăng nhập bằng đúng actor/role và chọn company/branch theo điều kiện trước.
3. Thực hiện kịch bản: Confirm email challenge của user khác/sai/hết hạn.
4. Ghi lại HTTP status, response body và thông báo/điều hướng trên UI (nếu có).
5. Tải lại profile/DB/media, kiểm tra field read-only, audit và dữ liệu không bị cập nhật một phần.
6. So sánh toàn bộ kết quả với cột 'Kết quả mong đợi' và đính kèm evidence nếu Fail/Blocked.</t>
        </is>
      </c>
      <c r="L14" s="4" t="inlineStr">
        <is>
          <t>400/403; email không đổi</t>
        </is>
      </c>
      <c r="M14" s="4" t="inlineStr">
        <is>
          <t>Profile/preference/media/audit nhất quán và không lộ dữ liệu nhạy cảm.</t>
        </is>
      </c>
      <c r="N14" s="4" t="inlineStr"/>
      <c r="O14" s="16" t="inlineStr">
        <is>
          <t>Not Run</t>
        </is>
      </c>
      <c r="P14" s="4" t="inlineStr"/>
      <c r="Q14" s="4" t="inlineStr"/>
      <c r="R14" s="4" t="inlineStr"/>
      <c r="S14" s="4" t="inlineStr"/>
      <c r="T14" s="4" t="inlineStr"/>
      <c r="U14" s="4" t="inlineStr">
        <is>
          <t>Candidate</t>
        </is>
      </c>
      <c r="V14" s="4" t="inlineStr"/>
    </row>
    <row r="15" ht="132" customHeight="1">
      <c r="A15" s="5" t="n">
        <v>12</v>
      </c>
      <c r="B15" s="17" t="inlineStr">
        <is>
          <t>COM07-12</t>
        </is>
      </c>
      <c r="C15" s="5" t="inlineStr">
        <is>
          <t>UC-COM-07</t>
        </is>
      </c>
      <c r="D15" s="5" t="inlineStr">
        <is>
          <t>Confirm đổi email hợp lệ</t>
        </is>
      </c>
      <c r="E15" s="19" t="inlineStr">
        <is>
          <t>P1</t>
        </is>
      </c>
      <c r="F15" s="5" t="inlineStr">
        <is>
          <t>Functional</t>
        </is>
      </c>
      <c r="G15" s="5" t="inlineStr">
        <is>
          <t>API + UI/E2E</t>
        </is>
      </c>
      <c r="H15" s="5" t="inlineStr">
        <is>
          <t>GET|PATCH /api/v1/common/profile/
POST /api/v1/common/profile/confirm-email/</t>
        </is>
      </c>
      <c r="I15" s="5" t="inlineStr">
        <is>
          <t>U3 đã đăng nhập; có user khác để kiểm tra phone/email trùng; media storage ghi được.</t>
        </is>
      </c>
      <c r="J15" s="5" t="inlineStr">
        <is>
          <t>display_name=Nguyễn Văn QA; phone=0901234567; avatar=valid.png/invalid.jpg
Bổ sung: AI stub hỗ trợ success, timeout, HTTP 500, invalid JSON và oversized response</t>
        </is>
      </c>
      <c r="K15" s="5" t="inlineStr">
        <is>
          <t>1. Chuẩn bị dữ liệu đúng mục 'Điều kiện trước' và ghi lại các ID ban đầu.
2. Đăng nhập bằng đúng actor/role và chọn company/branch theo điều kiện trước.
3. Thực hiện kịch bản: Confirm đổi email hợp lệ.
4. Ghi lại HTTP status, response body và thông báo/điều hướng trên UI (nếu có).
5. Tải lại profile/DB/media, kiểm tra field read-only, audit và dữ liệu không bị cập nhật một phần.
6. So sánh toàn bộ kết quả với cột 'Kết quả mong đợi' và đính kèm evidence nếu Fail/Blocked.</t>
        </is>
      </c>
      <c r="L15" s="5" t="inlineStr">
        <is>
          <t>Email và normalized_email cập nhật nguyên tử; email trùng bị từ chối</t>
        </is>
      </c>
      <c r="M15" s="5" t="inlineStr">
        <is>
          <t>Profile/preference/media/audit nhất quán và không lộ dữ liệu nhạy cảm.</t>
        </is>
      </c>
      <c r="N15" s="5" t="inlineStr"/>
      <c r="O15" s="18" t="inlineStr">
        <is>
          <t>Not Run</t>
        </is>
      </c>
      <c r="P15" s="5" t="inlineStr"/>
      <c r="Q15" s="5" t="inlineStr"/>
      <c r="R15" s="5" t="inlineStr"/>
      <c r="S15" s="5" t="inlineStr"/>
      <c r="T15" s="5" t="inlineStr"/>
      <c r="U15" s="5" t="inlineStr">
        <is>
          <t>Candidate</t>
        </is>
      </c>
      <c r="V15" s="5" t="inlineStr"/>
    </row>
  </sheetData>
  <autoFilter ref="A3:V15"/>
  <mergeCells count="2">
    <mergeCell ref="A2:V2"/>
    <mergeCell ref="A1:V1"/>
  </mergeCells>
  <conditionalFormatting sqref="O4:O15">
    <cfRule type="expression" priority="1" dxfId="0">
      <formula>$O4="Pass"</formula>
    </cfRule>
    <cfRule type="expression" priority="2" dxfId="1">
      <formula>$O4="Fail"</formula>
    </cfRule>
    <cfRule type="expression" priority="3" dxfId="2">
      <formula>$O4="Blocked"</formula>
    </cfRule>
    <cfRule type="expression" priority="4" dxfId="3">
      <formula>$O4="N/A"</formula>
    </cfRule>
  </conditionalFormatting>
  <dataValidations count="3">
    <dataValidation sqref="O4:O15" showDropDown="0" showInputMessage="0" showErrorMessage="0" allowBlank="1" type="list">
      <formula1>"Not Run,Pass,Fail,Blocked,N/A"</formula1>
    </dataValidation>
    <dataValidation sqref="P4:P15" showDropDown="0" showInputMessage="0" showErrorMessage="0" allowBlank="1" type="list">
      <formula1>"S1 Critical,S2 High,S3 Medium,S4 Low"</formula1>
    </dataValidation>
    <dataValidation sqref="U4:U15" showDropDown="0" showInputMessage="0" showErrorMessage="0" allowBlank="1" type="list">
      <formula1>"Manual,Automated,Candidate,Not Applicable"</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V14"/>
  <sheetViews>
    <sheetView showGridLines="0"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4" customWidth="1" min="2" max="2"/>
    <col width="14" customWidth="1" min="3" max="3"/>
    <col width="42" customWidth="1" min="4" max="4"/>
    <col width="10" customWidth="1" min="5" max="5"/>
    <col width="23" customWidth="1" min="6" max="6"/>
    <col width="18" customWidth="1" min="7" max="7"/>
    <col width="50" customWidth="1" min="8" max="8"/>
    <col width="48" customWidth="1" min="9" max="9"/>
    <col width="50" customWidth="1" min="10" max="10"/>
    <col width="70" customWidth="1" min="11" max="11"/>
    <col width="62" customWidth="1" min="12" max="12"/>
    <col width="46" customWidth="1" min="13" max="13"/>
    <col width="50" customWidth="1" min="14" max="14"/>
    <col width="13" customWidth="1" min="15" max="15"/>
    <col width="16" customWidth="1" min="16" max="16"/>
    <col width="16" customWidth="1" min="17" max="17"/>
    <col width="18" customWidth="1" min="18" max="18"/>
    <col width="14" customWidth="1" min="19" max="19"/>
    <col width="30" customWidth="1" min="20" max="20"/>
    <col width="16" customWidth="1" min="21" max="21"/>
    <col width="34" customWidth="1" min="22" max="22"/>
  </cols>
  <sheetData>
    <row r="1" ht="32" customHeight="1">
      <c r="A1" s="1" t="inlineStr">
        <is>
          <t>UC-COM-08 – Chuyển phạm vi làm việc</t>
        </is>
      </c>
    </row>
    <row r="2" ht="30" customHeight="1">
      <c r="A2" s="2" t="inlineStr">
        <is>
          <t>Nguồn: COMMON_SERVICES_TEST_PLAN.md | 11 test case</t>
        </is>
      </c>
    </row>
    <row r="3" ht="38" customHeight="1">
      <c r="A3" s="3" t="inlineStr">
        <is>
          <t>STT</t>
        </is>
      </c>
      <c r="B3" s="3" t="inlineStr">
        <is>
          <t>Test Case ID</t>
        </is>
      </c>
      <c r="C3" s="3" t="inlineStr">
        <is>
          <t>UC ID</t>
        </is>
      </c>
      <c r="D3" s="3" t="inlineStr">
        <is>
          <t>Tên test case</t>
        </is>
      </c>
      <c r="E3" s="3" t="inlineStr">
        <is>
          <t>Priority</t>
        </is>
      </c>
      <c r="F3" s="3" t="inlineStr">
        <is>
          <t>Loại kiểm thử</t>
        </is>
      </c>
      <c r="G3" s="3" t="inlineStr">
        <is>
          <t>Lớp</t>
        </is>
      </c>
      <c r="H3" s="3" t="inlineStr">
        <is>
          <t>Endpoint/API</t>
        </is>
      </c>
      <c r="I3" s="3" t="inlineStr">
        <is>
          <t>Điều kiện trước</t>
        </is>
      </c>
      <c r="J3" s="3" t="inlineStr">
        <is>
          <t>Dữ liệu kiểm thử</t>
        </is>
      </c>
      <c r="K3" s="3" t="inlineStr">
        <is>
          <t>Các bước thực hiện</t>
        </is>
      </c>
      <c r="L3" s="3" t="inlineStr">
        <is>
          <t>Kết quả mong đợi</t>
        </is>
      </c>
      <c r="M3" s="3" t="inlineStr">
        <is>
          <t>Hậu điều kiện cần kiểm tra</t>
        </is>
      </c>
      <c r="N3" s="3" t="inlineStr">
        <is>
          <t>Actual Result</t>
        </is>
      </c>
      <c r="O3" s="3" t="inlineStr">
        <is>
          <t>Status</t>
        </is>
      </c>
      <c r="P3" s="3" t="inlineStr">
        <is>
          <t>Severity nếu lỗi</t>
        </is>
      </c>
      <c r="Q3" s="3" t="inlineStr">
        <is>
          <t>Defect ID</t>
        </is>
      </c>
      <c r="R3" s="3" t="inlineStr">
        <is>
          <t>Tester</t>
        </is>
      </c>
      <c r="S3" s="3" t="inlineStr">
        <is>
          <t>Ngày chạy</t>
        </is>
      </c>
      <c r="T3" s="3" t="inlineStr">
        <is>
          <t>Evidence/Link</t>
        </is>
      </c>
      <c r="U3" s="3" t="inlineStr">
        <is>
          <t>Automation</t>
        </is>
      </c>
      <c r="V3" s="3" t="inlineStr">
        <is>
          <t>Ghi chú</t>
        </is>
      </c>
    </row>
    <row r="4" ht="132" customHeight="1">
      <c r="A4" s="4" t="n">
        <v>1</v>
      </c>
      <c r="B4" s="14" t="inlineStr">
        <is>
          <t>COM08-01</t>
        </is>
      </c>
      <c r="C4" s="4" t="inlineStr">
        <is>
          <t>UC-COM-08</t>
        </is>
      </c>
      <c r="D4" s="4" t="inlineStr">
        <is>
          <t>GET scopes của user có nhiều membership</t>
        </is>
      </c>
      <c r="E4" s="19" t="inlineStr">
        <is>
          <t>P1</t>
        </is>
      </c>
      <c r="F4" s="4" t="inlineStr">
        <is>
          <t>Security/Authorization</t>
        </is>
      </c>
      <c r="G4" s="4" t="inlineStr">
        <is>
          <t>API + Integration</t>
        </is>
      </c>
      <c r="H4" s="4" t="inlineStr">
        <is>
          <t>GET /api/v1/common/scopes/
GET /api/v1/common/companies/mine/
POST /api/v1/common/companies/switch/</t>
        </is>
      </c>
      <c r="I4" s="4" t="inlineStr">
        <is>
          <t>U3/U4/U5 có membership, role và Data Scope như sheet TEST_DATA.</t>
        </is>
      </c>
      <c r="J4" s="4" t="inlineStr">
        <is>
          <t>U3=all branches; U4=B1 only; U5=C1+C2</t>
        </is>
      </c>
      <c r="K4" s="4" t="inlineStr">
        <is>
          <t>1. Chuẩn bị dữ liệu đúng mục 'Điều kiện trước' và ghi lại các ID ban đầu.
2. Đăng nhập bằng đúng actor/role và chọn company/branch theo điều kiện trước.
3. Thực hiện kịch bản: GET scopes của user có nhiều membership.
4. Ghi lại HTTP status, response body và thông báo/điều hướng trên UI (nếu có).
5. Tải lại preference và gọi một API theo scope mới để xác nhận authorization được kiểm tra lại.
6. So sánh toàn bộ kết quả với cột 'Kết quả mong đợi' và đính kèm evidence nếu Fail/Blocked.</t>
        </is>
      </c>
      <c r="L4" s="4" t="inlineStr">
        <is>
          <t>Chỉ trả company/membership ACTIVE và branch ACTIVE trong Data Scope</t>
        </is>
      </c>
      <c r="M4" s="4" t="inlineStr">
        <is>
          <t>current_company/current_branch/all_branches và audit đúng.</t>
        </is>
      </c>
      <c r="N4" s="4" t="inlineStr"/>
      <c r="O4" s="16" t="inlineStr">
        <is>
          <t>Not Run</t>
        </is>
      </c>
      <c r="P4" s="4" t="inlineStr"/>
      <c r="Q4" s="4" t="inlineStr"/>
      <c r="R4" s="4" t="inlineStr"/>
      <c r="S4" s="4" t="inlineStr"/>
      <c r="T4" s="4" t="inlineStr"/>
      <c r="U4" s="4" t="inlineStr">
        <is>
          <t>Candidate</t>
        </is>
      </c>
      <c r="V4" s="4" t="inlineStr"/>
    </row>
    <row r="5" ht="132" customHeight="1">
      <c r="A5" s="5" t="n">
        <v>2</v>
      </c>
      <c r="B5" s="17" t="inlineStr">
        <is>
          <t>COM08-02</t>
        </is>
      </c>
      <c r="C5" s="5" t="inlineStr">
        <is>
          <t>UC-COM-08</t>
        </is>
      </c>
      <c r="D5" s="5" t="inlineStr">
        <is>
          <t>User có scope toàn doanh nghiệp chọn all_branches=true</t>
        </is>
      </c>
      <c r="E5" s="15" t="inlineStr">
        <is>
          <t>P0</t>
        </is>
      </c>
      <c r="F5" s="5" t="inlineStr">
        <is>
          <t>Security/Authorization</t>
        </is>
      </c>
      <c r="G5" s="5" t="inlineStr">
        <is>
          <t>API + Integration</t>
        </is>
      </c>
      <c r="H5" s="5" t="inlineStr">
        <is>
          <t>GET /api/v1/common/scopes/
GET /api/v1/common/companies/mine/
POST /api/v1/common/companies/switch/</t>
        </is>
      </c>
      <c r="I5" s="5" t="inlineStr">
        <is>
          <t>U3/U4/U5 có membership, role và Data Scope như sheet TEST_DATA.</t>
        </is>
      </c>
      <c r="J5" s="5" t="inlineStr">
        <is>
          <t>U3=all branches; U4=B1 only; U5=C1+C2</t>
        </is>
      </c>
      <c r="K5" s="5" t="inlineStr">
        <is>
          <t>1. Chuẩn bị dữ liệu đúng mục 'Điều kiện trước' và ghi lại các ID ban đầu.
2. Đăng nhập bằng đúng actor/role và chọn company/branch theo điều kiện trước.
3. Thực hiện kịch bản: User có scope toàn doanh nghiệp chọn all_branches=true.
4. Ghi lại HTTP status, response body và thông báo/điều hướng trên UI (nếu có).
5. Tải lại preference và gọi một API theo scope mới để xác nhận authorization được kiểm tra lại.
6. So sánh toàn bộ kết quả với cột 'Kết quả mong đợi' và đính kèm evidence nếu Fail/Blocked.</t>
        </is>
      </c>
      <c r="L5" s="5" t="inlineStr">
        <is>
          <t>Cập nhật preference company, branch null, all_branches true; ghi audit</t>
        </is>
      </c>
      <c r="M5" s="5" t="inlineStr">
        <is>
          <t>current_company/current_branch/all_branches và audit đúng.</t>
        </is>
      </c>
      <c r="N5" s="5" t="inlineStr"/>
      <c r="O5" s="18" t="inlineStr">
        <is>
          <t>Not Run</t>
        </is>
      </c>
      <c r="P5" s="5" t="inlineStr"/>
      <c r="Q5" s="5" t="inlineStr"/>
      <c r="R5" s="5" t="inlineStr"/>
      <c r="S5" s="5" t="inlineStr"/>
      <c r="T5" s="5" t="inlineStr"/>
      <c r="U5" s="5" t="inlineStr">
        <is>
          <t>Candidate</t>
        </is>
      </c>
      <c r="V5" s="5" t="inlineStr"/>
    </row>
    <row r="6" ht="132" customHeight="1">
      <c r="A6" s="4" t="n">
        <v>3</v>
      </c>
      <c r="B6" s="14" t="inlineStr">
        <is>
          <t>COM08-03</t>
        </is>
      </c>
      <c r="C6" s="4" t="inlineStr">
        <is>
          <t>UC-COM-08</t>
        </is>
      </c>
      <c r="D6" s="4" t="inlineStr">
        <is>
          <t>User không có scope toàn doanh nghiệp chọn all branches</t>
        </is>
      </c>
      <c r="E6" s="15" t="inlineStr">
        <is>
          <t>P0</t>
        </is>
      </c>
      <c r="F6" s="4" t="inlineStr">
        <is>
          <t>Security/Authorization</t>
        </is>
      </c>
      <c r="G6" s="4" t="inlineStr">
        <is>
          <t>API + Integration</t>
        </is>
      </c>
      <c r="H6" s="4" t="inlineStr">
        <is>
          <t>GET /api/v1/common/scopes/
GET /api/v1/common/companies/mine/
POST /api/v1/common/companies/switch/</t>
        </is>
      </c>
      <c r="I6" s="4" t="inlineStr">
        <is>
          <t>U3/U4/U5 có membership, role và Data Scope như sheet TEST_DATA.</t>
        </is>
      </c>
      <c r="J6" s="4" t="inlineStr">
        <is>
          <t>U3=all branches; U4=B1 only; U5=C1+C2</t>
        </is>
      </c>
      <c r="K6" s="4" t="inlineStr">
        <is>
          <t>1. Chuẩn bị dữ liệu đúng mục 'Điều kiện trước' và ghi lại các ID ban đầu.
2. Đăng nhập bằng đúng actor/role và chọn company/branch theo điều kiện trước.
3. Thực hiện kịch bản: User không có scope toàn doanh nghiệp chọn all branches.
4. Ghi lại HTTP status, response body và thông báo/điều hướng trên UI (nếu có).
5. Tải lại preference và gọi một API theo scope mới để xác nhận authorization được kiểm tra lại.
6. So sánh toàn bộ kết quả với cột 'Kết quả mong đợi' và đính kèm evidence nếu Fail/Blocked.</t>
        </is>
      </c>
      <c r="L6" s="4" t="inlineStr">
        <is>
          <t>403; preference cũ giữ nguyên</t>
        </is>
      </c>
      <c r="M6" s="4" t="inlineStr">
        <is>
          <t>current_company/current_branch/all_branches và audit đúng.</t>
        </is>
      </c>
      <c r="N6" s="4" t="inlineStr"/>
      <c r="O6" s="16" t="inlineStr">
        <is>
          <t>Not Run</t>
        </is>
      </c>
      <c r="P6" s="4" t="inlineStr"/>
      <c r="Q6" s="4" t="inlineStr"/>
      <c r="R6" s="4" t="inlineStr"/>
      <c r="S6" s="4" t="inlineStr"/>
      <c r="T6" s="4" t="inlineStr"/>
      <c r="U6" s="4" t="inlineStr">
        <is>
          <t>Candidate</t>
        </is>
      </c>
      <c r="V6" s="4" t="inlineStr"/>
    </row>
    <row r="7" ht="132" customHeight="1">
      <c r="A7" s="5" t="n">
        <v>4</v>
      </c>
      <c r="B7" s="17" t="inlineStr">
        <is>
          <t>COM08-04</t>
        </is>
      </c>
      <c r="C7" s="5" t="inlineStr">
        <is>
          <t>UC-COM-08</t>
        </is>
      </c>
      <c r="D7" s="5" t="inlineStr">
        <is>
          <t>Chọn branch thuộc company nhưng ngoài Data Scope</t>
        </is>
      </c>
      <c r="E7" s="15" t="inlineStr">
        <is>
          <t>P0</t>
        </is>
      </c>
      <c r="F7" s="5" t="inlineStr">
        <is>
          <t>Security/Authorization</t>
        </is>
      </c>
      <c r="G7" s="5" t="inlineStr">
        <is>
          <t>API + Integration</t>
        </is>
      </c>
      <c r="H7" s="5" t="inlineStr">
        <is>
          <t>GET /api/v1/common/scopes/
GET /api/v1/common/companies/mine/
POST /api/v1/common/companies/switch/</t>
        </is>
      </c>
      <c r="I7" s="5" t="inlineStr">
        <is>
          <t>U3/U4/U5 có membership, role và Data Scope như sheet TEST_DATA.</t>
        </is>
      </c>
      <c r="J7" s="5" t="inlineStr">
        <is>
          <t>U3=all branches; U4=B1 only; U5=C1+C2</t>
        </is>
      </c>
      <c r="K7" s="5" t="inlineStr">
        <is>
          <t>1. Chuẩn bị dữ liệu đúng mục 'Điều kiện trước' và ghi lại các ID ban đầu.
2. Đăng nhập bằng đúng actor/role và chọn company/branch theo điều kiện trước.
3. Thực hiện kịch bản: Chọn branch thuộc company nhưng ngoài Data Scope.
4. Ghi lại HTTP status, response body và thông báo/điều hướng trên UI (nếu có).
5. Tải lại preference và gọi một API theo scope mới để xác nhận authorization được kiểm tra lại.
6. So sánh toàn bộ kết quả với cột 'Kết quả mong đợi' và đính kèm evidence nếu Fail/Blocked.</t>
        </is>
      </c>
      <c r="L7" s="5" t="inlineStr">
        <is>
          <t>403; không chuyển phạm vi</t>
        </is>
      </c>
      <c r="M7" s="5" t="inlineStr">
        <is>
          <t>current_company/current_branch/all_branches và audit đúng.</t>
        </is>
      </c>
      <c r="N7" s="5" t="inlineStr"/>
      <c r="O7" s="18" t="inlineStr">
        <is>
          <t>Not Run</t>
        </is>
      </c>
      <c r="P7" s="5" t="inlineStr"/>
      <c r="Q7" s="5" t="inlineStr"/>
      <c r="R7" s="5" t="inlineStr"/>
      <c r="S7" s="5" t="inlineStr"/>
      <c r="T7" s="5" t="inlineStr"/>
      <c r="U7" s="5" t="inlineStr">
        <is>
          <t>Candidate</t>
        </is>
      </c>
      <c r="V7" s="5" t="inlineStr"/>
    </row>
    <row r="8" ht="132" customHeight="1">
      <c r="A8" s="4" t="n">
        <v>5</v>
      </c>
      <c r="B8" s="14" t="inlineStr">
        <is>
          <t>COM08-05</t>
        </is>
      </c>
      <c r="C8" s="4" t="inlineStr">
        <is>
          <t>UC-COM-08</t>
        </is>
      </c>
      <c r="D8" s="4" t="inlineStr">
        <is>
          <t>Chọn branch của C2 khi company=C1</t>
        </is>
      </c>
      <c r="E8" s="15" t="inlineStr">
        <is>
          <t>P0</t>
        </is>
      </c>
      <c r="F8" s="4" t="inlineStr">
        <is>
          <t>Security/Authorization</t>
        </is>
      </c>
      <c r="G8" s="4" t="inlineStr">
        <is>
          <t>API + Integration</t>
        </is>
      </c>
      <c r="H8" s="4" t="inlineStr">
        <is>
          <t>GET /api/v1/common/scopes/
GET /api/v1/common/companies/mine/
POST /api/v1/common/companies/switch/</t>
        </is>
      </c>
      <c r="I8" s="4" t="inlineStr">
        <is>
          <t>U3/U4/U5 có membership, role và Data Scope như sheet TEST_DATA.</t>
        </is>
      </c>
      <c r="J8" s="4" t="inlineStr">
        <is>
          <t>U3=all branches; U4=B1 only; U5=C1+C2
Bổ sung: Dùng UUID hợp lệ nhưng thuộc C2 hoặc branch ngoài Data Scope</t>
        </is>
      </c>
      <c r="K8" s="4" t="inlineStr">
        <is>
          <t>1. Chuẩn bị dữ liệu đúng mục 'Điều kiện trước' và ghi lại các ID ban đầu.
2. Đăng nhập bằng đúng actor/role và chọn company/branch theo điều kiện trước.
3. Thực hiện kịch bản: Chọn branch của C2 khi company=C1.
4. Ghi lại HTTP status, response body và thông báo/điều hướng trên UI (nếu có).
5. Tải lại preference và gọi một API theo scope mới để xác nhận authorization được kiểm tra lại.
6. So sánh toàn bộ kết quả với cột 'Kết quả mong đợi' và đính kèm evidence nếu Fail/Blocked.</t>
        </is>
      </c>
      <c r="L8" s="4" t="inlineStr">
        <is>
          <t>403/404; không lộ dữ liệu C2</t>
        </is>
      </c>
      <c r="M8" s="4" t="inlineStr">
        <is>
          <t>current_company/current_branch/all_branches và audit đúng.</t>
        </is>
      </c>
      <c r="N8" s="4" t="inlineStr"/>
      <c r="O8" s="16" t="inlineStr">
        <is>
          <t>Not Run</t>
        </is>
      </c>
      <c r="P8" s="4" t="inlineStr"/>
      <c r="Q8" s="4" t="inlineStr"/>
      <c r="R8" s="4" t="inlineStr"/>
      <c r="S8" s="4" t="inlineStr"/>
      <c r="T8" s="4" t="inlineStr"/>
      <c r="U8" s="4" t="inlineStr">
        <is>
          <t>Candidate</t>
        </is>
      </c>
      <c r="V8" s="4" t="inlineStr"/>
    </row>
    <row r="9" ht="132" customHeight="1">
      <c r="A9" s="5" t="n">
        <v>6</v>
      </c>
      <c r="B9" s="17" t="inlineStr">
        <is>
          <t>COM08-06</t>
        </is>
      </c>
      <c r="C9" s="5" t="inlineStr">
        <is>
          <t>UC-COM-08</t>
        </is>
      </c>
      <c r="D9" s="5" t="inlineStr">
        <is>
          <t>Không truyền branch khi chỉ có một branch được phép</t>
        </is>
      </c>
      <c r="E9" s="19" t="inlineStr">
        <is>
          <t>P1</t>
        </is>
      </c>
      <c r="F9" s="5" t="inlineStr">
        <is>
          <t>Functional</t>
        </is>
      </c>
      <c r="G9" s="5" t="inlineStr">
        <is>
          <t>API + UI/E2E</t>
        </is>
      </c>
      <c r="H9" s="5" t="inlineStr">
        <is>
          <t>GET /api/v1/common/scopes/
GET /api/v1/common/companies/mine/
POST /api/v1/common/companies/switch/</t>
        </is>
      </c>
      <c r="I9" s="5" t="inlineStr">
        <is>
          <t>U3/U4/U5 có membership, role và Data Scope như sheet TEST_DATA.</t>
        </is>
      </c>
      <c r="J9" s="5" t="inlineStr">
        <is>
          <t>U3=all branches; U4=B1 only; U5=C1+C2</t>
        </is>
      </c>
      <c r="K9" s="5" t="inlineStr">
        <is>
          <t>1. Chuẩn bị dữ liệu đúng mục 'Điều kiện trước' và ghi lại các ID ban đầu.
2. Đăng nhập bằng đúng actor/role và chọn company/branch theo điều kiện trước.
3. Thực hiện kịch bản: Không truyền branch khi chỉ có một branch được phép.
4. Ghi lại HTTP status, response body và thông báo/điều hướng trên UI (nếu có).
5. Tải lại preference và gọi một API theo scope mới để xác nhận authorization được kiểm tra lại.
6. So sánh toàn bộ kết quả với cột 'Kết quả mong đợi' và đính kèm evidence nếu Fail/Blocked.</t>
        </is>
      </c>
      <c r="L9" s="5" t="inlineStr">
        <is>
          <t>Tự chọn branch duy nhất</t>
        </is>
      </c>
      <c r="M9" s="5" t="inlineStr">
        <is>
          <t>current_company/current_branch/all_branches và audit đúng.</t>
        </is>
      </c>
      <c r="N9" s="5" t="inlineStr"/>
      <c r="O9" s="18" t="inlineStr">
        <is>
          <t>Not Run</t>
        </is>
      </c>
      <c r="P9" s="5" t="inlineStr"/>
      <c r="Q9" s="5" t="inlineStr"/>
      <c r="R9" s="5" t="inlineStr"/>
      <c r="S9" s="5" t="inlineStr"/>
      <c r="T9" s="5" t="inlineStr"/>
      <c r="U9" s="5" t="inlineStr">
        <is>
          <t>Candidate</t>
        </is>
      </c>
      <c r="V9" s="5" t="inlineStr"/>
    </row>
    <row r="10" ht="132" customHeight="1">
      <c r="A10" s="4" t="n">
        <v>7</v>
      </c>
      <c r="B10" s="14" t="inlineStr">
        <is>
          <t>COM08-07</t>
        </is>
      </c>
      <c r="C10" s="4" t="inlineStr">
        <is>
          <t>UC-COM-08</t>
        </is>
      </c>
      <c r="D10" s="4" t="inlineStr">
        <is>
          <t>Không truyền branch/all_branches khi có nhiều branch</t>
        </is>
      </c>
      <c r="E10" s="19" t="inlineStr">
        <is>
          <t>P1</t>
        </is>
      </c>
      <c r="F10" s="4" t="inlineStr">
        <is>
          <t>Functional</t>
        </is>
      </c>
      <c r="G10" s="4" t="inlineStr">
        <is>
          <t>API + UI/E2E</t>
        </is>
      </c>
      <c r="H10" s="4" t="inlineStr">
        <is>
          <t>GET /api/v1/common/scopes/
GET /api/v1/common/companies/mine/
POST /api/v1/common/companies/switch/</t>
        </is>
      </c>
      <c r="I10" s="4" t="inlineStr">
        <is>
          <t>U3/U4/U5 có membership, role và Data Scope như sheet TEST_DATA.</t>
        </is>
      </c>
      <c r="J10" s="4" t="inlineStr">
        <is>
          <t>U3=all branches; U4=B1 only; U5=C1+C2</t>
        </is>
      </c>
      <c r="K10" s="4" t="inlineStr">
        <is>
          <t>1. Chuẩn bị dữ liệu đúng mục 'Điều kiện trước' và ghi lại các ID ban đầu.
2. Đăng nhập bằng đúng actor/role và chọn company/branch theo điều kiện trước.
3. Thực hiện kịch bản: Không truyền branch/all_branches khi có nhiều branch.
4. Ghi lại HTTP status, response body và thông báo/điều hướng trên UI (nếu có).
5. Tải lại preference và gọi một API theo scope mới để xác nhận authorization được kiểm tra lại.
6. So sánh toàn bộ kết quả với cột 'Kết quả mong đợi' và đính kèm evidence nếu Fail/Blocked.</t>
        </is>
      </c>
      <c r="L10" s="4" t="inlineStr">
        <is>
          <t>400, yêu cầu lựa chọn rõ ràng</t>
        </is>
      </c>
      <c r="M10" s="4" t="inlineStr">
        <is>
          <t>current_company/current_branch/all_branches và audit đúng.</t>
        </is>
      </c>
      <c r="N10" s="4" t="inlineStr"/>
      <c r="O10" s="16" t="inlineStr">
        <is>
          <t>Not Run</t>
        </is>
      </c>
      <c r="P10" s="4" t="inlineStr"/>
      <c r="Q10" s="4" t="inlineStr"/>
      <c r="R10" s="4" t="inlineStr"/>
      <c r="S10" s="4" t="inlineStr"/>
      <c r="T10" s="4" t="inlineStr"/>
      <c r="U10" s="4" t="inlineStr">
        <is>
          <t>Candidate</t>
        </is>
      </c>
      <c r="V10" s="4" t="inlineStr"/>
    </row>
    <row r="11" ht="132" customHeight="1">
      <c r="A11" s="5" t="n">
        <v>8</v>
      </c>
      <c r="B11" s="17" t="inlineStr">
        <is>
          <t>COM08-08</t>
        </is>
      </c>
      <c r="C11" s="5" t="inlineStr">
        <is>
          <t>UC-COM-08</t>
        </is>
      </c>
      <c r="D11" s="5" t="inlineStr">
        <is>
          <t>Membership/company/branch INACTIVE</t>
        </is>
      </c>
      <c r="E11" s="15" t="inlineStr">
        <is>
          <t>P0</t>
        </is>
      </c>
      <c r="F11" s="5" t="inlineStr">
        <is>
          <t>Functional</t>
        </is>
      </c>
      <c r="G11" s="5" t="inlineStr">
        <is>
          <t>API + UI/E2E</t>
        </is>
      </c>
      <c r="H11" s="5" t="inlineStr">
        <is>
          <t>GET /api/v1/common/scopes/
GET /api/v1/common/companies/mine/
POST /api/v1/common/companies/switch/</t>
        </is>
      </c>
      <c r="I11" s="5" t="inlineStr">
        <is>
          <t>U3/U4/U5 có membership, role và Data Scope như sheet TEST_DATA.</t>
        </is>
      </c>
      <c r="J11" s="5" t="inlineStr">
        <is>
          <t>U3=all branches; U4=B1 only; U5=C1+C2</t>
        </is>
      </c>
      <c r="K11" s="5" t="inlineStr">
        <is>
          <t>1. Chuẩn bị dữ liệu đúng mục 'Điều kiện trước' và ghi lại các ID ban đầu.
2. Đăng nhập bằng đúng actor/role và chọn company/branch theo điều kiện trước.
3. Thực hiện kịch bản: Membership/company/branch INACTIVE.
4. Ghi lại HTTP status, response body và thông báo/điều hướng trên UI (nếu có).
5. Tải lại preference và gọi một API theo scope mới để xác nhận authorization được kiểm tra lại.
6. So sánh toàn bộ kết quả với cột 'Kết quả mong đợi' và đính kèm evidence nếu Fail/Blocked.</t>
        </is>
      </c>
      <c r="L11" s="5" t="inlineStr">
        <is>
          <t>403/404/400; không cập nhật preference</t>
        </is>
      </c>
      <c r="M11" s="5" t="inlineStr">
        <is>
          <t>current_company/current_branch/all_branches và audit đúng.</t>
        </is>
      </c>
      <c r="N11" s="5" t="inlineStr"/>
      <c r="O11" s="18" t="inlineStr">
        <is>
          <t>Not Run</t>
        </is>
      </c>
      <c r="P11" s="5" t="inlineStr"/>
      <c r="Q11" s="5" t="inlineStr"/>
      <c r="R11" s="5" t="inlineStr"/>
      <c r="S11" s="5" t="inlineStr"/>
      <c r="T11" s="5" t="inlineStr"/>
      <c r="U11" s="5" t="inlineStr">
        <is>
          <t>Candidate</t>
        </is>
      </c>
      <c r="V11" s="5" t="inlineStr"/>
    </row>
    <row r="12" ht="132" customHeight="1">
      <c r="A12" s="4" t="n">
        <v>9</v>
      </c>
      <c r="B12" s="14" t="inlineStr">
        <is>
          <t>COM08-09</t>
        </is>
      </c>
      <c r="C12" s="4" t="inlineStr">
        <is>
          <t>UC-COM-08</t>
        </is>
      </c>
      <c r="D12" s="4" t="inlineStr">
        <is>
          <t>Chuyển qua lại C1/B1 → C2/Bx</t>
        </is>
      </c>
      <c r="E12" s="19" t="inlineStr">
        <is>
          <t>P1</t>
        </is>
      </c>
      <c r="F12" s="4" t="inlineStr">
        <is>
          <t>Security/Authorization</t>
        </is>
      </c>
      <c r="G12" s="4" t="inlineStr">
        <is>
          <t>API + Integration</t>
        </is>
      </c>
      <c r="H12" s="4" t="inlineStr">
        <is>
          <t>GET /api/v1/common/scopes/
GET /api/v1/common/companies/mine/
POST /api/v1/common/companies/switch/</t>
        </is>
      </c>
      <c r="I12" s="4" t="inlineStr">
        <is>
          <t>U3/U4/U5 có membership, role và Data Scope như sheet TEST_DATA.</t>
        </is>
      </c>
      <c r="J12" s="4" t="inlineStr">
        <is>
          <t>U3=all branches; U4=B1 only; U5=C1+C2
Bổ sung: Dùng UUID hợp lệ nhưng thuộc C2 hoặc branch ngoài Data Scope</t>
        </is>
      </c>
      <c r="K12" s="4" t="inlineStr">
        <is>
          <t>1. Chuẩn bị dữ liệu đúng mục 'Điều kiện trước' và ghi lại các ID ban đầu.
2. Đăng nhập bằng đúng actor/role và chọn company/branch theo điều kiện trước.
3. Thực hiện kịch bản: Chuyển qua lại C1/B1 → C2/Bx.
4. Ghi lại HTTP status, response body và thông báo/điều hướng trên UI (nếu có).
5. Tải lại preference và gọi một API theo scope mới để xác nhận authorization được kiểm tra lại.
6. So sánh toàn bộ kết quả với cột 'Kết quả mong đợi' và đính kèm evidence nếu Fail/Blocked.</t>
        </is>
      </c>
      <c r="L12" s="4" t="inlineStr">
        <is>
          <t>Context sau cùng chính xác; API sau đó mặc định dùng current company/scope mới</t>
        </is>
      </c>
      <c r="M12" s="4" t="inlineStr">
        <is>
          <t>current_company/current_branch/all_branches và audit đúng.</t>
        </is>
      </c>
      <c r="N12" s="4" t="inlineStr"/>
      <c r="O12" s="16" t="inlineStr">
        <is>
          <t>Not Run</t>
        </is>
      </c>
      <c r="P12" s="4" t="inlineStr"/>
      <c r="Q12" s="4" t="inlineStr"/>
      <c r="R12" s="4" t="inlineStr"/>
      <c r="S12" s="4" t="inlineStr"/>
      <c r="T12" s="4" t="inlineStr"/>
      <c r="U12" s="4" t="inlineStr">
        <is>
          <t>Candidate</t>
        </is>
      </c>
      <c r="V12" s="4" t="inlineStr"/>
    </row>
    <row r="13" ht="132" customHeight="1">
      <c r="A13" s="5" t="n">
        <v>10</v>
      </c>
      <c r="B13" s="17" t="inlineStr">
        <is>
          <t>COM08-10</t>
        </is>
      </c>
      <c r="C13" s="5" t="inlineStr">
        <is>
          <t>UC-COM-08</t>
        </is>
      </c>
      <c r="D13" s="5" t="inlineStr">
        <is>
          <t>Có dữ liệu UI chưa lưu và confirm_discard=false/true</t>
        </is>
      </c>
      <c r="E13" s="19" t="inlineStr">
        <is>
          <t>P1</t>
        </is>
      </c>
      <c r="F13" s="5" t="inlineStr">
        <is>
          <t>UI/Validation</t>
        </is>
      </c>
      <c r="G13" s="5" t="inlineStr">
        <is>
          <t>UI + API</t>
        </is>
      </c>
      <c r="H13" s="5" t="inlineStr">
        <is>
          <t>GET /api/v1/common/scopes/
GET /api/v1/common/companies/mine/
POST /api/v1/common/companies/switch/</t>
        </is>
      </c>
      <c r="I13" s="5" t="inlineStr">
        <is>
          <t>U3/U4/U5 có membership, role và Data Scope như sheet TEST_DATA.</t>
        </is>
      </c>
      <c r="J13" s="5" t="inlineStr">
        <is>
          <t>U3=all branches; U4=B1 only; U5=C1+C2</t>
        </is>
      </c>
      <c r="K13" s="5" t="inlineStr">
        <is>
          <t>1. Chuẩn bị dữ liệu đúng mục 'Điều kiện trước' và ghi lại các ID ban đầu.
2. Đăng nhập bằng đúng actor/role và chọn company/branch theo điều kiện trước.
3. Thực hiện kịch bản: Có dữ liệu UI chưa lưu và confirm_discard=false/true.
4. Ghi lại HTTP status, response body và thông báo/điều hướng trên UI (nếu có).
5. Tải lại preference và gọi một API theo scope mới để xác nhận authorization được kiểm tra lại.
6. So sánh toàn bộ kết quả với cột 'Kết quả mong đợi' và đính kèm evidence nếu Fail/Blocked.</t>
        </is>
      </c>
      <c r="L13" s="5" t="inlineStr">
        <is>
          <t>UI cảnh báo; chỉ chuyển khi xác nhận theo acceptance criteria đã duyệt</t>
        </is>
      </c>
      <c r="M13" s="5" t="inlineStr">
        <is>
          <t>current_company/current_branch/all_branches và audit đúng.</t>
        </is>
      </c>
      <c r="N13" s="5" t="inlineStr"/>
      <c r="O13" s="18" t="inlineStr">
        <is>
          <t>Not Run</t>
        </is>
      </c>
      <c r="P13" s="5" t="inlineStr"/>
      <c r="Q13" s="5" t="inlineStr"/>
      <c r="R13" s="5" t="inlineStr"/>
      <c r="S13" s="5" t="inlineStr"/>
      <c r="T13" s="5" t="inlineStr"/>
      <c r="U13" s="5" t="inlineStr">
        <is>
          <t>Candidate</t>
        </is>
      </c>
      <c r="V13" s="5" t="inlineStr"/>
    </row>
    <row r="14" ht="132" customHeight="1">
      <c r="A14" s="4" t="n">
        <v>11</v>
      </c>
      <c r="B14" s="14" t="inlineStr">
        <is>
          <t>COM08-11</t>
        </is>
      </c>
      <c r="C14" s="4" t="inlineStr">
        <is>
          <t>UC-COM-08</t>
        </is>
      </c>
      <c r="D14" s="4" t="inlineStr">
        <is>
          <t>Permission/Data Scope bị thu hồi sau khi đã chọn scope</t>
        </is>
      </c>
      <c r="E14" s="15" t="inlineStr">
        <is>
          <t>P0</t>
        </is>
      </c>
      <c r="F14" s="4" t="inlineStr">
        <is>
          <t>Security/Authorization</t>
        </is>
      </c>
      <c r="G14" s="4" t="inlineStr">
        <is>
          <t>API + Integration</t>
        </is>
      </c>
      <c r="H14" s="4" t="inlineStr">
        <is>
          <t>GET /api/v1/common/scopes/
GET /api/v1/common/companies/mine/
POST /api/v1/common/companies/switch/</t>
        </is>
      </c>
      <c r="I14" s="4" t="inlineStr">
        <is>
          <t>U3/U4/U5 có membership, role và Data Scope như sheet TEST_DATA.</t>
        </is>
      </c>
      <c r="J14" s="4" t="inlineStr">
        <is>
          <t>U3=all branches; U4=B1 only; U5=C1+C2</t>
        </is>
      </c>
      <c r="K14" s="4" t="inlineStr">
        <is>
          <t>1. Chuẩn bị dữ liệu đúng mục 'Điều kiện trước' và ghi lại các ID ban đầu.
2. Đăng nhập bằng đúng actor/role và chọn company/branch theo điều kiện trước.
3. Thực hiện kịch bản: Permission/Data Scope bị thu hồi sau khi đã chọn scope.
4. Ghi lại HTTP status, response body và thông báo/điều hướng trên UI (nếu có).
5. Tải lại preference và gọi một API theo scope mới để xác nhận authorization được kiểm tra lại.
6. So sánh toàn bộ kết quả với cột 'Kết quả mong đợi' và đính kèm evidence nếu Fail/Blocked.</t>
        </is>
      </c>
      <c r="L14" s="4" t="inlineStr">
        <is>
          <t>Các request tiếp theo bị chặn hoặc yêu cầu chọn lại; không dựa vào preference cũ để cấp quyền</t>
        </is>
      </c>
      <c r="M14" s="4" t="inlineStr">
        <is>
          <t>current_company/current_branch/all_branches và audit đúng.</t>
        </is>
      </c>
      <c r="N14" s="4" t="inlineStr"/>
      <c r="O14" s="16" t="inlineStr">
        <is>
          <t>Not Run</t>
        </is>
      </c>
      <c r="P14" s="4" t="inlineStr"/>
      <c r="Q14" s="4" t="inlineStr"/>
      <c r="R14" s="4" t="inlineStr"/>
      <c r="S14" s="4" t="inlineStr"/>
      <c r="T14" s="4" t="inlineStr"/>
      <c r="U14" s="4" t="inlineStr">
        <is>
          <t>Candidate</t>
        </is>
      </c>
      <c r="V14" s="4" t="inlineStr"/>
    </row>
  </sheetData>
  <autoFilter ref="A3:V14"/>
  <mergeCells count="2">
    <mergeCell ref="A2:V2"/>
    <mergeCell ref="A1:V1"/>
  </mergeCells>
  <conditionalFormatting sqref="O4:O14">
    <cfRule type="expression" priority="1" dxfId="0">
      <formula>$O4="Pass"</formula>
    </cfRule>
    <cfRule type="expression" priority="2" dxfId="1">
      <formula>$O4="Fail"</formula>
    </cfRule>
    <cfRule type="expression" priority="3" dxfId="2">
      <formula>$O4="Blocked"</formula>
    </cfRule>
    <cfRule type="expression" priority="4" dxfId="3">
      <formula>$O4="N/A"</formula>
    </cfRule>
  </conditionalFormatting>
  <dataValidations count="3">
    <dataValidation sqref="O4:O14" showDropDown="0" showInputMessage="0" showErrorMessage="0" allowBlank="1" type="list">
      <formula1>"Not Run,Pass,Fail,Blocked,N/A"</formula1>
    </dataValidation>
    <dataValidation sqref="P4:P14" showDropDown="0" showInputMessage="0" showErrorMessage="0" allowBlank="1" type="list">
      <formula1>"S1 Critical,S2 High,S3 Medium,S4 Low"</formula1>
    </dataValidation>
    <dataValidation sqref="U4:U14" showDropDown="0" showInputMessage="0" showErrorMessage="0" allowBlank="1" type="list">
      <formula1>"Manual,Automated,Candidate,Not Applicable"</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15"/>
  <sheetViews>
    <sheetView showGridLines="0"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4" customWidth="1" min="2" max="2"/>
    <col width="14" customWidth="1" min="3" max="3"/>
    <col width="42" customWidth="1" min="4" max="4"/>
    <col width="10" customWidth="1" min="5" max="5"/>
    <col width="23" customWidth="1" min="6" max="6"/>
    <col width="18" customWidth="1" min="7" max="7"/>
    <col width="50" customWidth="1" min="8" max="8"/>
    <col width="48" customWidth="1" min="9" max="9"/>
    <col width="50" customWidth="1" min="10" max="10"/>
    <col width="70" customWidth="1" min="11" max="11"/>
    <col width="62" customWidth="1" min="12" max="12"/>
    <col width="46" customWidth="1" min="13" max="13"/>
    <col width="50" customWidth="1" min="14" max="14"/>
    <col width="13" customWidth="1" min="15" max="15"/>
    <col width="16" customWidth="1" min="16" max="16"/>
    <col width="16" customWidth="1" min="17" max="17"/>
    <col width="18" customWidth="1" min="18" max="18"/>
    <col width="14" customWidth="1" min="19" max="19"/>
    <col width="30" customWidth="1" min="20" max="20"/>
    <col width="16" customWidth="1" min="21" max="21"/>
    <col width="34" customWidth="1" min="22" max="22"/>
  </cols>
  <sheetData>
    <row r="1" ht="32" customHeight="1">
      <c r="A1" s="1" t="inlineStr">
        <is>
          <t>UC-COM-09 – Xem và xử lý thông báo</t>
        </is>
      </c>
    </row>
    <row r="2" ht="30" customHeight="1">
      <c r="A2" s="2" t="inlineStr">
        <is>
          <t>Nguồn: COMMON_SERVICES_TEST_PLAN.md | 12 test case</t>
        </is>
      </c>
    </row>
    <row r="3" ht="38" customHeight="1">
      <c r="A3" s="3" t="inlineStr">
        <is>
          <t>STT</t>
        </is>
      </c>
      <c r="B3" s="3" t="inlineStr">
        <is>
          <t>Test Case ID</t>
        </is>
      </c>
      <c r="C3" s="3" t="inlineStr">
        <is>
          <t>UC ID</t>
        </is>
      </c>
      <c r="D3" s="3" t="inlineStr">
        <is>
          <t>Tên test case</t>
        </is>
      </c>
      <c r="E3" s="3" t="inlineStr">
        <is>
          <t>Priority</t>
        </is>
      </c>
      <c r="F3" s="3" t="inlineStr">
        <is>
          <t>Loại kiểm thử</t>
        </is>
      </c>
      <c r="G3" s="3" t="inlineStr">
        <is>
          <t>Lớp</t>
        </is>
      </c>
      <c r="H3" s="3" t="inlineStr">
        <is>
          <t>Endpoint/API</t>
        </is>
      </c>
      <c r="I3" s="3" t="inlineStr">
        <is>
          <t>Điều kiện trước</t>
        </is>
      </c>
      <c r="J3" s="3" t="inlineStr">
        <is>
          <t>Dữ liệu kiểm thử</t>
        </is>
      </c>
      <c r="K3" s="3" t="inlineStr">
        <is>
          <t>Các bước thực hiện</t>
        </is>
      </c>
      <c r="L3" s="3" t="inlineStr">
        <is>
          <t>Kết quả mong đợi</t>
        </is>
      </c>
      <c r="M3" s="3" t="inlineStr">
        <is>
          <t>Hậu điều kiện cần kiểm tra</t>
        </is>
      </c>
      <c r="N3" s="3" t="inlineStr">
        <is>
          <t>Actual Result</t>
        </is>
      </c>
      <c r="O3" s="3" t="inlineStr">
        <is>
          <t>Status</t>
        </is>
      </c>
      <c r="P3" s="3" t="inlineStr">
        <is>
          <t>Severity nếu lỗi</t>
        </is>
      </c>
      <c r="Q3" s="3" t="inlineStr">
        <is>
          <t>Defect ID</t>
        </is>
      </c>
      <c r="R3" s="3" t="inlineStr">
        <is>
          <t>Tester</t>
        </is>
      </c>
      <c r="S3" s="3" t="inlineStr">
        <is>
          <t>Ngày chạy</t>
        </is>
      </c>
      <c r="T3" s="3" t="inlineStr">
        <is>
          <t>Evidence/Link</t>
        </is>
      </c>
      <c r="U3" s="3" t="inlineStr">
        <is>
          <t>Automation</t>
        </is>
      </c>
      <c r="V3" s="3" t="inlineStr">
        <is>
          <t>Ghi chú</t>
        </is>
      </c>
    </row>
    <row r="4" ht="132" customHeight="1">
      <c r="A4" s="4" t="n">
        <v>1</v>
      </c>
      <c r="B4" s="14" t="inlineStr">
        <is>
          <t>COM09-01</t>
        </is>
      </c>
      <c r="C4" s="4" t="inlineStr">
        <is>
          <t>UC-COM-09</t>
        </is>
      </c>
      <c r="D4" s="4" t="inlineStr">
        <is>
          <t>Liệt kê thông báo của user</t>
        </is>
      </c>
      <c r="E4" s="19" t="inlineStr">
        <is>
          <t>P1</t>
        </is>
      </c>
      <c r="F4" s="4" t="inlineStr">
        <is>
          <t>Functional</t>
        </is>
      </c>
      <c r="G4" s="4" t="inlineStr">
        <is>
          <t>API + UI/E2E</t>
        </is>
      </c>
      <c r="H4" s="4" t="inlineStr">
        <is>
          <t>GET /api/v1/common/notifications/
POST /api/v1/common/notifications/{id}/{read|unread|archive|open}/
POST /api/v1/common/notifications/read-all/
GET /api/v1/common/notifications/unread-count/</t>
        </is>
      </c>
      <c r="I4" s="4" t="inlineStr">
        <is>
          <t>Có N1–N6 thuộc nhiều trạng thái/company/permission; user đã đăng nhập.</t>
        </is>
      </c>
      <c r="J4" s="4" t="inlineStr">
        <is>
          <t>notifications=N1–N6; company=C1; page_size=20</t>
        </is>
      </c>
      <c r="K4" s="4" t="inlineStr">
        <is>
          <t>1. Chuẩn bị dữ liệu đúng mục 'Điều kiện trước' và ghi lại các ID ban đầu.
2. Đăng nhập bằng đúng actor/role và chọn company/branch theo điều kiện trước.
3. Thực hiện kịch bản: Liệt kê thông báo của user.
4. Ghi lại HTTP status, response body và thông báo/điều hướng trên UI (nếu có).
5. Tải lại list/count; kiểm tra ownership, read_at/hidden_at/link và quyền khi open.
6. So sánh toàn bộ kết quả với cột 'Kết quả mong đợi' và đính kèm evidence nếu Fail/Blocked.</t>
        </is>
      </c>
      <c r="L4" s="4" t="inlineStr">
        <is>
          <t>Phân trang mặc định 20, mới nhất trước; chỉ recipient hiện tại; loại archived/expired</t>
        </is>
      </c>
      <c r="M4" s="4" t="inlineStr">
        <is>
          <t>read_at/hidden_at/count/list nhất quán; notification không bị xóa vật lý ngoài rule.</t>
        </is>
      </c>
      <c r="N4" s="4" t="inlineStr"/>
      <c r="O4" s="16" t="inlineStr">
        <is>
          <t>Not Run</t>
        </is>
      </c>
      <c r="P4" s="4" t="inlineStr"/>
      <c r="Q4" s="4" t="inlineStr"/>
      <c r="R4" s="4" t="inlineStr"/>
      <c r="S4" s="4" t="inlineStr"/>
      <c r="T4" s="4" t="inlineStr"/>
      <c r="U4" s="4" t="inlineStr">
        <is>
          <t>Candidate</t>
        </is>
      </c>
      <c r="V4" s="4" t="inlineStr"/>
    </row>
    <row r="5" ht="132" customHeight="1">
      <c r="A5" s="5" t="n">
        <v>2</v>
      </c>
      <c r="B5" s="17" t="inlineStr">
        <is>
          <t>COM09-02</t>
        </is>
      </c>
      <c r="C5" s="5" t="inlineStr">
        <is>
          <t>UC-COM-09</t>
        </is>
      </c>
      <c r="D5" s="5" t="inlineStr">
        <is>
          <t>Lọc company, unread/status, level, module, date range</t>
        </is>
      </c>
      <c r="E5" s="19" t="inlineStr">
        <is>
          <t>P1</t>
        </is>
      </c>
      <c r="F5" s="5" t="inlineStr">
        <is>
          <t>Functional</t>
        </is>
      </c>
      <c r="G5" s="5" t="inlineStr">
        <is>
          <t>API + UI/E2E</t>
        </is>
      </c>
      <c r="H5" s="5" t="inlineStr">
        <is>
          <t>GET /api/v1/common/notifications/
POST /api/v1/common/notifications/{id}/{read|unread|archive|open}/
POST /api/v1/common/notifications/read-all/
GET /api/v1/common/notifications/unread-count/</t>
        </is>
      </c>
      <c r="I5" s="5" t="inlineStr">
        <is>
          <t>Có N1–N6 thuộc nhiều trạng thái/company/permission; user đã đăng nhập.</t>
        </is>
      </c>
      <c r="J5" s="5" t="inlineStr">
        <is>
          <t>notifications=N1–N6; company=C1; page_size=20</t>
        </is>
      </c>
      <c r="K5" s="5" t="inlineStr">
        <is>
          <t>1. Chuẩn bị dữ liệu đúng mục 'Điều kiện trước' và ghi lại các ID ban đầu.
2. Đăng nhập bằng đúng actor/role và chọn company/branch theo điều kiện trước.
3. Thực hiện kịch bản: Lọc company, unread/status, level, module, date range.
4. Ghi lại HTTP status, response body và thông báo/điều hướng trên UI (nếu có).
5. Tải lại list/count; kiểm tra ownership, read_at/hidden_at/link và quyền khi open.
6. So sánh toàn bộ kết quả với cột 'Kết quả mong đợi' và đính kèm evidence nếu Fail/Blocked.</t>
        </is>
      </c>
      <c r="L5" s="5" t="inlineStr">
        <is>
          <t>Kết quả thỏa tất cả bộ lọc; page_size tối đa 100</t>
        </is>
      </c>
      <c r="M5" s="5" t="inlineStr">
        <is>
          <t>read_at/hidden_at/count/list nhất quán; notification không bị xóa vật lý ngoài rule.</t>
        </is>
      </c>
      <c r="N5" s="5" t="inlineStr"/>
      <c r="O5" s="18" t="inlineStr">
        <is>
          <t>Not Run</t>
        </is>
      </c>
      <c r="P5" s="5" t="inlineStr"/>
      <c r="Q5" s="5" t="inlineStr"/>
      <c r="R5" s="5" t="inlineStr"/>
      <c r="S5" s="5" t="inlineStr"/>
      <c r="T5" s="5" t="inlineStr"/>
      <c r="U5" s="5" t="inlineStr">
        <is>
          <t>Candidate</t>
        </is>
      </c>
      <c r="V5" s="5" t="inlineStr"/>
    </row>
    <row r="6" ht="132" customHeight="1">
      <c r="A6" s="4" t="n">
        <v>3</v>
      </c>
      <c r="B6" s="14" t="inlineStr">
        <is>
          <t>COM09-03</t>
        </is>
      </c>
      <c r="C6" s="4" t="inlineStr">
        <is>
          <t>UC-COM-09</t>
        </is>
      </c>
      <c r="D6" s="4" t="inlineStr">
        <is>
          <t>User U8 truy cập notification ID của U3</t>
        </is>
      </c>
      <c r="E6" s="15" t="inlineStr">
        <is>
          <t>P0</t>
        </is>
      </c>
      <c r="F6" s="4" t="inlineStr">
        <is>
          <t>Functional</t>
        </is>
      </c>
      <c r="G6" s="4" t="inlineStr">
        <is>
          <t>API + UI/E2E</t>
        </is>
      </c>
      <c r="H6" s="4" t="inlineStr">
        <is>
          <t>GET /api/v1/common/notifications/
POST /api/v1/common/notifications/{id}/{read|unread|archive|open}/
POST /api/v1/common/notifications/read-all/
GET /api/v1/common/notifications/unread-count/</t>
        </is>
      </c>
      <c r="I6" s="4" t="inlineStr">
        <is>
          <t>Có N1–N6 thuộc nhiều trạng thái/company/permission; user đã đăng nhập.</t>
        </is>
      </c>
      <c r="J6" s="4" t="inlineStr">
        <is>
          <t>notifications=N1–N6; company=C1; page_size=20</t>
        </is>
      </c>
      <c r="K6" s="4" t="inlineStr">
        <is>
          <t>1. Chuẩn bị dữ liệu đúng mục 'Điều kiện trước' và ghi lại các ID ban đầu.
2. Đăng nhập bằng đúng actor/role và chọn company/branch theo điều kiện trước.
3. Thực hiện kịch bản: User U8 truy cập notification ID của U3.
4. Ghi lại HTTP status, response body và thông báo/điều hướng trên UI (nếu có).
5. Tải lại list/count; kiểm tra ownership, read_at/hidden_at/link và quyền khi open.
6. So sánh toàn bộ kết quả với cột 'Kết quả mong đợi' và đính kèm evidence nếu Fail/Blocked.</t>
        </is>
      </c>
      <c r="L6" s="4" t="inlineStr">
        <is>
          <t>404; không lộ title/message/link</t>
        </is>
      </c>
      <c r="M6" s="4" t="inlineStr">
        <is>
          <t>read_at/hidden_at/count/list nhất quán; notification không bị xóa vật lý ngoài rule.</t>
        </is>
      </c>
      <c r="N6" s="4" t="inlineStr"/>
      <c r="O6" s="16" t="inlineStr">
        <is>
          <t>Not Run</t>
        </is>
      </c>
      <c r="P6" s="4" t="inlineStr"/>
      <c r="Q6" s="4" t="inlineStr"/>
      <c r="R6" s="4" t="inlineStr"/>
      <c r="S6" s="4" t="inlineStr"/>
      <c r="T6" s="4" t="inlineStr"/>
      <c r="U6" s="4" t="inlineStr">
        <is>
          <t>Candidate</t>
        </is>
      </c>
      <c r="V6" s="4" t="inlineStr"/>
    </row>
    <row r="7" ht="132" customHeight="1">
      <c r="A7" s="5" t="n">
        <v>4</v>
      </c>
      <c r="B7" s="17" t="inlineStr">
        <is>
          <t>COM09-04</t>
        </is>
      </c>
      <c r="C7" s="5" t="inlineStr">
        <is>
          <t>UC-COM-09</t>
        </is>
      </c>
      <c r="D7" s="5" t="inlineStr">
        <is>
          <t>Mark read rồi mark unread</t>
        </is>
      </c>
      <c r="E7" s="19" t="inlineStr">
        <is>
          <t>P1</t>
        </is>
      </c>
      <c r="F7" s="5" t="inlineStr">
        <is>
          <t>Functional</t>
        </is>
      </c>
      <c r="G7" s="5" t="inlineStr">
        <is>
          <t>API + UI/E2E</t>
        </is>
      </c>
      <c r="H7" s="5" t="inlineStr">
        <is>
          <t>GET /api/v1/common/notifications/
POST /api/v1/common/notifications/{id}/{read|unread|archive|open}/
POST /api/v1/common/notifications/read-all/
GET /api/v1/common/notifications/unread-count/</t>
        </is>
      </c>
      <c r="I7" s="5" t="inlineStr">
        <is>
          <t>Có N1–N6 thuộc nhiều trạng thái/company/permission; user đã đăng nhập.</t>
        </is>
      </c>
      <c r="J7" s="5" t="inlineStr">
        <is>
          <t>notifications=N1–N6; company=C1; page_size=20</t>
        </is>
      </c>
      <c r="K7" s="5" t="inlineStr">
        <is>
          <t>1. Chuẩn bị dữ liệu đúng mục 'Điều kiện trước' và ghi lại các ID ban đầu.
2. Đăng nhập bằng đúng actor/role và chọn company/branch theo điều kiện trước.
3. Thực hiện kịch bản: Mark read rồi mark unread.
4. Ghi lại HTTP status, response body và thông báo/điều hướng trên UI (nếu có).
5. Tải lại list/count; kiểm tra ownership, read_at/hidden_at/link và quyền khi open.
6. So sánh toàn bộ kết quả với cột 'Kết quả mong đợi' và đính kèm evidence nếu Fail/Blocked.</t>
        </is>
      </c>
      <c r="L7" s="5" t="inlineStr">
        <is>
          <t>read_at được set/clear; status READ/UNREAD đúng; thao tác idempotent</t>
        </is>
      </c>
      <c r="M7" s="5" t="inlineStr">
        <is>
          <t>read_at/hidden_at/count/list nhất quán; notification không bị xóa vật lý ngoài rule.</t>
        </is>
      </c>
      <c r="N7" s="5" t="inlineStr"/>
      <c r="O7" s="18" t="inlineStr">
        <is>
          <t>Not Run</t>
        </is>
      </c>
      <c r="P7" s="5" t="inlineStr"/>
      <c r="Q7" s="5" t="inlineStr"/>
      <c r="R7" s="5" t="inlineStr"/>
      <c r="S7" s="5" t="inlineStr"/>
      <c r="T7" s="5" t="inlineStr"/>
      <c r="U7" s="5" t="inlineStr">
        <is>
          <t>Candidate</t>
        </is>
      </c>
      <c r="V7" s="5" t="inlineStr"/>
    </row>
    <row r="8" ht="132" customHeight="1">
      <c r="A8" s="4" t="n">
        <v>5</v>
      </c>
      <c r="B8" s="14" t="inlineStr">
        <is>
          <t>COM09-05</t>
        </is>
      </c>
      <c r="C8" s="4" t="inlineStr">
        <is>
          <t>UC-COM-09</t>
        </is>
      </c>
      <c r="D8" s="4" t="inlineStr">
        <is>
          <t>Read all trong phạm vi/bộ lọc hiện tại</t>
        </is>
      </c>
      <c r="E8" s="19" t="inlineStr">
        <is>
          <t>P1</t>
        </is>
      </c>
      <c r="F8" s="4" t="inlineStr">
        <is>
          <t>Functional</t>
        </is>
      </c>
      <c r="G8" s="4" t="inlineStr">
        <is>
          <t>API + UI/E2E</t>
        </is>
      </c>
      <c r="H8" s="4" t="inlineStr">
        <is>
          <t>GET /api/v1/common/notifications/
POST /api/v1/common/notifications/{id}/{read|unread|archive|open}/
POST /api/v1/common/notifications/read-all/
GET /api/v1/common/notifications/unread-count/</t>
        </is>
      </c>
      <c r="I8" s="4" t="inlineStr">
        <is>
          <t>Có N1–N6 thuộc nhiều trạng thái/company/permission; user đã đăng nhập.</t>
        </is>
      </c>
      <c r="J8" s="4" t="inlineStr">
        <is>
          <t>notifications=N1–N6; company=C1; page_size=20</t>
        </is>
      </c>
      <c r="K8" s="4" t="inlineStr">
        <is>
          <t>1. Chuẩn bị dữ liệu đúng mục 'Điều kiện trước' và ghi lại các ID ban đầu.
2. Đăng nhập bằng đúng actor/role và chọn company/branch theo điều kiện trước.
3. Thực hiện kịch bản: Read all trong phạm vi/bộ lọc hiện tại.
4. Ghi lại HTTP status, response body và thông báo/điều hướng trên UI (nếu có).
5. Tải lại list/count; kiểm tra ownership, read_at/hidden_at/link và quyền khi open.
6. So sánh toàn bộ kết quả với cột 'Kết quả mong đợi' và đính kèm evidence nếu Fail/Blocked.</t>
        </is>
      </c>
      <c r="L8" s="4" t="inlineStr">
        <is>
          <t>Chỉ cập nhật tập đang thấy; trả số lượng chính xác</t>
        </is>
      </c>
      <c r="M8" s="4" t="inlineStr">
        <is>
          <t>read_at/hidden_at/count/list nhất quán; notification không bị xóa vật lý ngoài rule.</t>
        </is>
      </c>
      <c r="N8" s="4" t="inlineStr"/>
      <c r="O8" s="16" t="inlineStr">
        <is>
          <t>Not Run</t>
        </is>
      </c>
      <c r="P8" s="4" t="inlineStr"/>
      <c r="Q8" s="4" t="inlineStr"/>
      <c r="R8" s="4" t="inlineStr"/>
      <c r="S8" s="4" t="inlineStr"/>
      <c r="T8" s="4" t="inlineStr"/>
      <c r="U8" s="4" t="inlineStr">
        <is>
          <t>Candidate</t>
        </is>
      </c>
      <c r="V8" s="4" t="inlineStr"/>
    </row>
    <row r="9" ht="132" customHeight="1">
      <c r="A9" s="5" t="n">
        <v>6</v>
      </c>
      <c r="B9" s="17" t="inlineStr">
        <is>
          <t>COM09-06</t>
        </is>
      </c>
      <c r="C9" s="5" t="inlineStr">
        <is>
          <t>UC-COM-09</t>
        </is>
      </c>
      <c r="D9" s="5" t="inlineStr">
        <is>
          <t>Unread count theo company/filter</t>
        </is>
      </c>
      <c r="E9" s="19" t="inlineStr">
        <is>
          <t>P1</t>
        </is>
      </c>
      <c r="F9" s="5" t="inlineStr">
        <is>
          <t>Functional</t>
        </is>
      </c>
      <c r="G9" s="5" t="inlineStr">
        <is>
          <t>API + UI/E2E</t>
        </is>
      </c>
      <c r="H9" s="5" t="inlineStr">
        <is>
          <t>GET /api/v1/common/notifications/
POST /api/v1/common/notifications/{id}/{read|unread|archive|open}/
POST /api/v1/common/notifications/read-all/
GET /api/v1/common/notifications/unread-count/</t>
        </is>
      </c>
      <c r="I9" s="5" t="inlineStr">
        <is>
          <t>Có N1–N6 thuộc nhiều trạng thái/company/permission; user đã đăng nhập.</t>
        </is>
      </c>
      <c r="J9" s="5" t="inlineStr">
        <is>
          <t>notifications=N1–N6; company=C1; page_size=20</t>
        </is>
      </c>
      <c r="K9" s="5" t="inlineStr">
        <is>
          <t>1. Chuẩn bị dữ liệu đúng mục 'Điều kiện trước' và ghi lại các ID ban đầu.
2. Đăng nhập bằng đúng actor/role và chọn company/branch theo điều kiện trước.
3. Thực hiện kịch bản: Unread count theo company/filter.
4. Ghi lại HTTP status, response body và thông báo/điều hướng trên UI (nếu có).
5. Tải lại list/count; kiểm tra ownership, read_at/hidden_at/link và quyền khi open.
6. So sánh toàn bộ kết quả với cột 'Kết quả mong đợi' và đính kèm evidence nếu Fail/Blocked.</t>
        </is>
      </c>
      <c r="L9" s="5" t="inlineStr">
        <is>
          <t>Khớp danh sách và thay đổi ngay sau read/unread/archive</t>
        </is>
      </c>
      <c r="M9" s="5" t="inlineStr">
        <is>
          <t>read_at/hidden_at/count/list nhất quán; notification không bị xóa vật lý ngoài rule.</t>
        </is>
      </c>
      <c r="N9" s="5" t="inlineStr"/>
      <c r="O9" s="18" t="inlineStr">
        <is>
          <t>Not Run</t>
        </is>
      </c>
      <c r="P9" s="5" t="inlineStr"/>
      <c r="Q9" s="5" t="inlineStr"/>
      <c r="R9" s="5" t="inlineStr"/>
      <c r="S9" s="5" t="inlineStr"/>
      <c r="T9" s="5" t="inlineStr"/>
      <c r="U9" s="5" t="inlineStr">
        <is>
          <t>Candidate</t>
        </is>
      </c>
      <c r="V9" s="5" t="inlineStr"/>
    </row>
    <row r="10" ht="132" customHeight="1">
      <c r="A10" s="4" t="n">
        <v>7</v>
      </c>
      <c r="B10" s="14" t="inlineStr">
        <is>
          <t>COM09-07</t>
        </is>
      </c>
      <c r="C10" s="4" t="inlineStr">
        <is>
          <t>UC-COM-09</t>
        </is>
      </c>
      <c r="D10" s="4" t="inlineStr">
        <is>
          <t>Archive/hide notification</t>
        </is>
      </c>
      <c r="E10" s="19" t="inlineStr">
        <is>
          <t>P1</t>
        </is>
      </c>
      <c r="F10" s="4" t="inlineStr">
        <is>
          <t>Functional</t>
        </is>
      </c>
      <c r="G10" s="4" t="inlineStr">
        <is>
          <t>API + UI/E2E</t>
        </is>
      </c>
      <c r="H10" s="4" t="inlineStr">
        <is>
          <t>GET /api/v1/common/notifications/
POST /api/v1/common/notifications/{id}/{read|unread|archive|open}/
POST /api/v1/common/notifications/read-all/
GET /api/v1/common/notifications/unread-count/</t>
        </is>
      </c>
      <c r="I10" s="4" t="inlineStr">
        <is>
          <t>Có N1–N6 thuộc nhiều trạng thái/company/permission; user đã đăng nhập.</t>
        </is>
      </c>
      <c r="J10" s="4" t="inlineStr">
        <is>
          <t>notifications=N1–N6; company=C1; page_size=20</t>
        </is>
      </c>
      <c r="K10" s="4" t="inlineStr">
        <is>
          <t>1. Chuẩn bị dữ liệu đúng mục 'Điều kiện trước' và ghi lại các ID ban đầu.
2. Đăng nhập bằng đúng actor/role và chọn company/branch theo điều kiện trước.
3. Thực hiện kịch bản: Archive/hide notification.
4. Ghi lại HTTP status, response body và thông báo/điều hướng trên UI (nếu có).
5. Tải lại list/count; kiểm tra ownership, read_at/hidden_at/link và quyền khi open.
6. So sánh toàn bộ kết quả với cột 'Kết quả mong đợi' và đính kèm evidence nếu Fail/Blocked.</t>
        </is>
      </c>
      <c r="L10" s="4" t="inlineStr">
        <is>
          <t>204; không còn trong list/count; không xóa vật lý ngoài chính sách</t>
        </is>
      </c>
      <c r="M10" s="4" t="inlineStr">
        <is>
          <t>read_at/hidden_at/count/list nhất quán; notification không bị xóa vật lý ngoài rule.</t>
        </is>
      </c>
      <c r="N10" s="4" t="inlineStr"/>
      <c r="O10" s="16" t="inlineStr">
        <is>
          <t>Not Run</t>
        </is>
      </c>
      <c r="P10" s="4" t="inlineStr"/>
      <c r="Q10" s="4" t="inlineStr"/>
      <c r="R10" s="4" t="inlineStr"/>
      <c r="S10" s="4" t="inlineStr"/>
      <c r="T10" s="4" t="inlineStr"/>
      <c r="U10" s="4" t="inlineStr">
        <is>
          <t>Candidate</t>
        </is>
      </c>
      <c r="V10" s="4" t="inlineStr"/>
    </row>
    <row r="11" ht="132" customHeight="1">
      <c r="A11" s="5" t="n">
        <v>8</v>
      </c>
      <c r="B11" s="17" t="inlineStr">
        <is>
          <t>COM09-08</t>
        </is>
      </c>
      <c r="C11" s="5" t="inlineStr">
        <is>
          <t>UC-COM-09</t>
        </is>
      </c>
      <c r="D11" s="5" t="inlineStr">
        <is>
          <t>Open notification khi vẫn có membership và permission</t>
        </is>
      </c>
      <c r="E11" s="15" t="inlineStr">
        <is>
          <t>P0</t>
        </is>
      </c>
      <c r="F11" s="5" t="inlineStr">
        <is>
          <t>Security/Authorization</t>
        </is>
      </c>
      <c r="G11" s="5" t="inlineStr">
        <is>
          <t>API + Integration</t>
        </is>
      </c>
      <c r="H11" s="5" t="inlineStr">
        <is>
          <t>GET /api/v1/common/notifications/
POST /api/v1/common/notifications/{id}/{read|unread|archive|open}/
POST /api/v1/common/notifications/read-all/
GET /api/v1/common/notifications/unread-count/</t>
        </is>
      </c>
      <c r="I11" s="5" t="inlineStr">
        <is>
          <t>Có N1–N6 thuộc nhiều trạng thái/company/permission; user đã đăng nhập.</t>
        </is>
      </c>
      <c r="J11" s="5" t="inlineStr">
        <is>
          <t>notifications=N1–N6; company=C1; page_size=20</t>
        </is>
      </c>
      <c r="K11" s="5" t="inlineStr">
        <is>
          <t>1. Chuẩn bị dữ liệu đúng mục 'Điều kiện trước' và ghi lại các ID ban đầu.
2. Đăng nhập bằng đúng actor/role và chọn company/branch theo điều kiện trước.
3. Thực hiện kịch bản: Open notification khi vẫn có membership và permission.
4. Ghi lại HTTP status, response body và thông báo/điều hướng trên UI (nếu có).
5. Tải lại list/count; kiểm tra ownership, read_at/hidden_at/link và quyền khi open.
6. So sánh toàn bộ kết quả với cột 'Kết quả mong đợi' và đính kèm evidence nếu Fail/Blocked.</t>
        </is>
      </c>
      <c r="L11" s="5" t="inlineStr">
        <is>
          <t>Tự mark read; trả link hoặc null đúng dữ liệu</t>
        </is>
      </c>
      <c r="M11" s="5" t="inlineStr">
        <is>
          <t>read_at/hidden_at/count/list nhất quán; notification không bị xóa vật lý ngoài rule.</t>
        </is>
      </c>
      <c r="N11" s="5" t="inlineStr"/>
      <c r="O11" s="18" t="inlineStr">
        <is>
          <t>Not Run</t>
        </is>
      </c>
      <c r="P11" s="5" t="inlineStr"/>
      <c r="Q11" s="5" t="inlineStr"/>
      <c r="R11" s="5" t="inlineStr"/>
      <c r="S11" s="5" t="inlineStr"/>
      <c r="T11" s="5" t="inlineStr"/>
      <c r="U11" s="5" t="inlineStr">
        <is>
          <t>Candidate</t>
        </is>
      </c>
      <c r="V11" s="5" t="inlineStr"/>
    </row>
    <row r="12" ht="132" customHeight="1">
      <c r="A12" s="4" t="n">
        <v>9</v>
      </c>
      <c r="B12" s="14" t="inlineStr">
        <is>
          <t>COM09-09</t>
        </is>
      </c>
      <c r="C12" s="4" t="inlineStr">
        <is>
          <t>UC-COM-09</t>
        </is>
      </c>
      <c r="D12" s="4" t="inlineStr">
        <is>
          <t>Permission/membership bị thu hồi trước khi open</t>
        </is>
      </c>
      <c r="E12" s="15" t="inlineStr">
        <is>
          <t>P0</t>
        </is>
      </c>
      <c r="F12" s="4" t="inlineStr">
        <is>
          <t>Security/Authorization</t>
        </is>
      </c>
      <c r="G12" s="4" t="inlineStr">
        <is>
          <t>API + Integration</t>
        </is>
      </c>
      <c r="H12" s="4" t="inlineStr">
        <is>
          <t>GET /api/v1/common/notifications/
POST /api/v1/common/notifications/{id}/{read|unread|archive|open}/
POST /api/v1/common/notifications/read-all/
GET /api/v1/common/notifications/unread-count/</t>
        </is>
      </c>
      <c r="I12" s="4" t="inlineStr">
        <is>
          <t>Có N1–N6 thuộc nhiều trạng thái/company/permission; user đã đăng nhập.</t>
        </is>
      </c>
      <c r="J12" s="4" t="inlineStr">
        <is>
          <t>notifications=N1–N6; company=C1; page_size=20</t>
        </is>
      </c>
      <c r="K12" s="4" t="inlineStr">
        <is>
          <t>1. Chuẩn bị dữ liệu đúng mục 'Điều kiện trước' và ghi lại các ID ban đầu.
2. Đăng nhập bằng đúng actor/role và chọn company/branch theo điều kiện trước.
3. Thực hiện kịch bản: Permission/membership bị thu hồi trước khi open.
4. Ghi lại HTTP status, response body và thông báo/điều hướng trên UI (nếu có).
5. Tải lại list/count; kiểm tra ownership, read_at/hidden_at/link và quyền khi open.
6. So sánh toàn bộ kết quả với cột 'Kết quả mong đợi' và đính kèm evidence nếu Fail/Blocked.</t>
        </is>
      </c>
      <c r="L12" s="4" t="inlineStr">
        <is>
          <t>403; không điều hướng hoặc lộ nội dung đích</t>
        </is>
      </c>
      <c r="M12" s="4" t="inlineStr">
        <is>
          <t>read_at/hidden_at/count/list nhất quán; notification không bị xóa vật lý ngoài rule.</t>
        </is>
      </c>
      <c r="N12" s="4" t="inlineStr"/>
      <c r="O12" s="16" t="inlineStr">
        <is>
          <t>Not Run</t>
        </is>
      </c>
      <c r="P12" s="4" t="inlineStr"/>
      <c r="Q12" s="4" t="inlineStr"/>
      <c r="R12" s="4" t="inlineStr"/>
      <c r="S12" s="4" t="inlineStr"/>
      <c r="T12" s="4" t="inlineStr"/>
      <c r="U12" s="4" t="inlineStr">
        <is>
          <t>Candidate</t>
        </is>
      </c>
      <c r="V12" s="4" t="inlineStr"/>
    </row>
    <row r="13" ht="132" customHeight="1">
      <c r="A13" s="5" t="n">
        <v>10</v>
      </c>
      <c r="B13" s="17" t="inlineStr">
        <is>
          <t>COM09-10</t>
        </is>
      </c>
      <c r="C13" s="5" t="inlineStr">
        <is>
          <t>UC-COM-09</t>
        </is>
      </c>
      <c r="D13" s="5" t="inlineStr">
        <is>
          <t>Notification toàn hệ thống không có company</t>
        </is>
      </c>
      <c r="E13" s="19" t="inlineStr">
        <is>
          <t>P1</t>
        </is>
      </c>
      <c r="F13" s="5" t="inlineStr">
        <is>
          <t>Functional</t>
        </is>
      </c>
      <c r="G13" s="5" t="inlineStr">
        <is>
          <t>API + UI/E2E</t>
        </is>
      </c>
      <c r="H13" s="5" t="inlineStr">
        <is>
          <t>GET /api/v1/common/notifications/
POST /api/v1/common/notifications/{id}/{read|unread|archive|open}/
POST /api/v1/common/notifications/read-all/
GET /api/v1/common/notifications/unread-count/</t>
        </is>
      </c>
      <c r="I13" s="5" t="inlineStr">
        <is>
          <t>Có N1–N6 thuộc nhiều trạng thái/company/permission; user đã đăng nhập.</t>
        </is>
      </c>
      <c r="J13" s="5" t="inlineStr">
        <is>
          <t>notifications=N1–N6; company=C1; page_size=20</t>
        </is>
      </c>
      <c r="K13" s="5" t="inlineStr">
        <is>
          <t>1. Chuẩn bị dữ liệu đúng mục 'Điều kiện trước' và ghi lại các ID ban đầu.
2. Đăng nhập bằng đúng actor/role và chọn company/branch theo điều kiện trước.
3. Thực hiện kịch bản: Notification toàn hệ thống không có company.
4. Ghi lại HTTP status, response body và thông báo/điều hướng trên UI (nếu có).
5. Tải lại list/count; kiểm tra ownership, read_at/hidden_at/link và quyền khi open.
6. So sánh toàn bộ kết quả với cột 'Kết quả mong đợi' và đính kèm evidence nếu Fail/Blocked.</t>
        </is>
      </c>
      <c r="L13" s="5" t="inlineStr">
        <is>
          <t>Vẫn hiển thị đúng recipient và mở an toàn</t>
        </is>
      </c>
      <c r="M13" s="5" t="inlineStr">
        <is>
          <t>read_at/hidden_at/count/list nhất quán; notification không bị xóa vật lý ngoài rule.</t>
        </is>
      </c>
      <c r="N13" s="5" t="inlineStr"/>
      <c r="O13" s="18" t="inlineStr">
        <is>
          <t>Not Run</t>
        </is>
      </c>
      <c r="P13" s="5" t="inlineStr"/>
      <c r="Q13" s="5" t="inlineStr"/>
      <c r="R13" s="5" t="inlineStr"/>
      <c r="S13" s="5" t="inlineStr"/>
      <c r="T13" s="5" t="inlineStr"/>
      <c r="U13" s="5" t="inlineStr">
        <is>
          <t>Candidate</t>
        </is>
      </c>
      <c r="V13" s="5" t="inlineStr"/>
    </row>
    <row r="14" ht="132" customHeight="1">
      <c r="A14" s="4" t="n">
        <v>11</v>
      </c>
      <c r="B14" s="14" t="inlineStr">
        <is>
          <t>COM09-11</t>
        </is>
      </c>
      <c r="C14" s="4" t="inlineStr">
        <is>
          <t>UC-COM-09</t>
        </is>
      </c>
      <c r="D14" s="4" t="inlineStr">
        <is>
          <t>Tạo lại cùng recipient + event_key</t>
        </is>
      </c>
      <c r="E14" s="19" t="inlineStr">
        <is>
          <t>P1</t>
        </is>
      </c>
      <c r="F14" s="4" t="inlineStr">
        <is>
          <t>Functional</t>
        </is>
      </c>
      <c r="G14" s="4" t="inlineStr">
        <is>
          <t>API + UI/E2E</t>
        </is>
      </c>
      <c r="H14" s="4" t="inlineStr">
        <is>
          <t>GET /api/v1/common/notifications/
POST /api/v1/common/notifications/{id}/{read|unread|archive|open}/
POST /api/v1/common/notifications/read-all/
GET /api/v1/common/notifications/unread-count/</t>
        </is>
      </c>
      <c r="I14" s="4" t="inlineStr">
        <is>
          <t>Có N1–N6 thuộc nhiều trạng thái/company/permission; user đã đăng nhập.</t>
        </is>
      </c>
      <c r="J14" s="4" t="inlineStr">
        <is>
          <t>notifications=N1–N6; company=C1; page_size=20</t>
        </is>
      </c>
      <c r="K14" s="4" t="inlineStr">
        <is>
          <t>1. Chuẩn bị dữ liệu đúng mục 'Điều kiện trước' và ghi lại các ID ban đầu.
2. Đăng nhập bằng đúng actor/role và chọn company/branch theo điều kiện trước.
3. Thực hiện kịch bản: Tạo lại cùng recipient + event_key.
4. Ghi lại HTTP status, response body và thông báo/điều hướng trên UI (nếu có).
5. Tải lại list/count; kiểm tra ownership, read_at/hidden_at/link và quyền khi open.
6. So sánh toàn bộ kết quả với cột 'Kết quả mong đợi' và đính kèm evidence nếu Fail/Blocked.</t>
        </is>
      </c>
      <c r="L14" s="4" t="inlineStr">
        <is>
          <t>Không tạo thông báo trùng</t>
        </is>
      </c>
      <c r="M14" s="4" t="inlineStr">
        <is>
          <t>read_at/hidden_at/count/list nhất quán; notification không bị xóa vật lý ngoài rule.</t>
        </is>
      </c>
      <c r="N14" s="4" t="inlineStr"/>
      <c r="O14" s="16" t="inlineStr">
        <is>
          <t>Not Run</t>
        </is>
      </c>
      <c r="P14" s="4" t="inlineStr"/>
      <c r="Q14" s="4" t="inlineStr"/>
      <c r="R14" s="4" t="inlineStr"/>
      <c r="S14" s="4" t="inlineStr"/>
      <c r="T14" s="4" t="inlineStr"/>
      <c r="U14" s="4" t="inlineStr">
        <is>
          <t>Candidate</t>
        </is>
      </c>
      <c r="V14" s="4" t="inlineStr"/>
    </row>
    <row r="15" ht="132" customHeight="1">
      <c r="A15" s="5" t="n">
        <v>12</v>
      </c>
      <c r="B15" s="17" t="inlineStr">
        <is>
          <t>COM09-12</t>
        </is>
      </c>
      <c r="C15" s="5" t="inlineStr">
        <is>
          <t>UC-COM-09</t>
        </is>
      </c>
      <c r="D15" s="5" t="inlineStr">
        <is>
          <t>Mốc ngày/giờ quanh 00:00 timezone Việt Nam</t>
        </is>
      </c>
      <c r="E15" s="20" t="inlineStr">
        <is>
          <t>P2</t>
        </is>
      </c>
      <c r="F15" s="5" t="inlineStr">
        <is>
          <t>Functional</t>
        </is>
      </c>
      <c r="G15" s="5" t="inlineStr">
        <is>
          <t>API + UI/E2E</t>
        </is>
      </c>
      <c r="H15" s="5" t="inlineStr">
        <is>
          <t>GET /api/v1/common/notifications/
POST /api/v1/common/notifications/{id}/{read|unread|archive|open}/
POST /api/v1/common/notifications/read-all/
GET /api/v1/common/notifications/unread-count/</t>
        </is>
      </c>
      <c r="I15" s="5" t="inlineStr">
        <is>
          <t>Có N1–N6 thuộc nhiều trạng thái/company/permission; user đã đăng nhập.</t>
        </is>
      </c>
      <c r="J15" s="5" t="inlineStr">
        <is>
          <t>notifications=N1–N6; company=C1; page_size=20</t>
        </is>
      </c>
      <c r="K15" s="5" t="inlineStr">
        <is>
          <t>1. Chuẩn bị dữ liệu đúng mục 'Điều kiện trước' và ghi lại các ID ban đầu.
2. Đăng nhập bằng đúng actor/role và chọn company/branch theo điều kiện trước.
3. Thực hiện kịch bản: Mốc ngày/giờ quanh 00:00 timezone Việt Nam.
4. Ghi lại HTTP status, response body và thông báo/điều hướng trên UI (nếu có).
5. Tải lại list/count; kiểm tra ownership, read_at/hidden_at/link và quyền khi open.
6. So sánh toàn bộ kết quả với cột 'Kết quả mong đợi' và đính kèm evidence nếu Fail/Blocked.</t>
        </is>
      </c>
      <c r="L15" s="5" t="inlineStr">
        <is>
          <t>Lọc date_from/date_to đúng ngày địa phương đã thống nhất</t>
        </is>
      </c>
      <c r="M15" s="5" t="inlineStr">
        <is>
          <t>read_at/hidden_at/count/list nhất quán; notification không bị xóa vật lý ngoài rule.</t>
        </is>
      </c>
      <c r="N15" s="5" t="inlineStr"/>
      <c r="O15" s="18" t="inlineStr">
        <is>
          <t>Not Run</t>
        </is>
      </c>
      <c r="P15" s="5" t="inlineStr"/>
      <c r="Q15" s="5" t="inlineStr"/>
      <c r="R15" s="5" t="inlineStr"/>
      <c r="S15" s="5" t="inlineStr"/>
      <c r="T15" s="5" t="inlineStr"/>
      <c r="U15" s="5" t="inlineStr">
        <is>
          <t>Candidate</t>
        </is>
      </c>
      <c r="V15" s="5" t="inlineStr"/>
    </row>
  </sheetData>
  <autoFilter ref="A3:V15"/>
  <mergeCells count="2">
    <mergeCell ref="A2:V2"/>
    <mergeCell ref="A1:V1"/>
  </mergeCells>
  <conditionalFormatting sqref="O4:O15">
    <cfRule type="expression" priority="1" dxfId="0">
      <formula>$O4="Pass"</formula>
    </cfRule>
    <cfRule type="expression" priority="2" dxfId="1">
      <formula>$O4="Fail"</formula>
    </cfRule>
    <cfRule type="expression" priority="3" dxfId="2">
      <formula>$O4="Blocked"</formula>
    </cfRule>
    <cfRule type="expression" priority="4" dxfId="3">
      <formula>$O4="N/A"</formula>
    </cfRule>
  </conditionalFormatting>
  <dataValidations count="3">
    <dataValidation sqref="O4:O15" showDropDown="0" showInputMessage="0" showErrorMessage="0" allowBlank="1" type="list">
      <formula1>"Not Run,Pass,Fail,Blocked,N/A"</formula1>
    </dataValidation>
    <dataValidation sqref="P4:P15" showDropDown="0" showInputMessage="0" showErrorMessage="0" allowBlank="1" type="list">
      <formula1>"S1 Critical,S2 High,S3 Medium,S4 Low"</formula1>
    </dataValidation>
    <dataValidation sqref="U4:U15" showDropDown="0" showInputMessage="0" showErrorMessage="0" allowBlank="1" type="list">
      <formula1>"Manual,Automated,Candidate,Not Applicable"</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V14"/>
  <sheetViews>
    <sheetView showGridLines="0"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4" customWidth="1" min="2" max="2"/>
    <col width="14" customWidth="1" min="3" max="3"/>
    <col width="42" customWidth="1" min="4" max="4"/>
    <col width="10" customWidth="1" min="5" max="5"/>
    <col width="23" customWidth="1" min="6" max="6"/>
    <col width="18" customWidth="1" min="7" max="7"/>
    <col width="50" customWidth="1" min="8" max="8"/>
    <col width="48" customWidth="1" min="9" max="9"/>
    <col width="50" customWidth="1" min="10" max="10"/>
    <col width="70" customWidth="1" min="11" max="11"/>
    <col width="62" customWidth="1" min="12" max="12"/>
    <col width="46" customWidth="1" min="13" max="13"/>
    <col width="50" customWidth="1" min="14" max="14"/>
    <col width="13" customWidth="1" min="15" max="15"/>
    <col width="16" customWidth="1" min="16" max="16"/>
    <col width="16" customWidth="1" min="17" max="17"/>
    <col width="18" customWidth="1" min="18" max="18"/>
    <col width="14" customWidth="1" min="19" max="19"/>
    <col width="30" customWidth="1" min="20" max="20"/>
    <col width="16" customWidth="1" min="21" max="21"/>
    <col width="34" customWidth="1" min="22" max="22"/>
  </cols>
  <sheetData>
    <row r="1" ht="32" customHeight="1">
      <c r="A1" s="1" t="inlineStr">
        <is>
          <t>UC-COM-10 – Tìm kiếm toàn hệ thống</t>
        </is>
      </c>
    </row>
    <row r="2" ht="30" customHeight="1">
      <c r="A2" s="2" t="inlineStr">
        <is>
          <t>Nguồn: COMMON_SERVICES_TEST_PLAN.md | 11 test case</t>
        </is>
      </c>
    </row>
    <row r="3" ht="38" customHeight="1">
      <c r="A3" s="3" t="inlineStr">
        <is>
          <t>STT</t>
        </is>
      </c>
      <c r="B3" s="3" t="inlineStr">
        <is>
          <t>Test Case ID</t>
        </is>
      </c>
      <c r="C3" s="3" t="inlineStr">
        <is>
          <t>UC ID</t>
        </is>
      </c>
      <c r="D3" s="3" t="inlineStr">
        <is>
          <t>Tên test case</t>
        </is>
      </c>
      <c r="E3" s="3" t="inlineStr">
        <is>
          <t>Priority</t>
        </is>
      </c>
      <c r="F3" s="3" t="inlineStr">
        <is>
          <t>Loại kiểm thử</t>
        </is>
      </c>
      <c r="G3" s="3" t="inlineStr">
        <is>
          <t>Lớp</t>
        </is>
      </c>
      <c r="H3" s="3" t="inlineStr">
        <is>
          <t>Endpoint/API</t>
        </is>
      </c>
      <c r="I3" s="3" t="inlineStr">
        <is>
          <t>Điều kiện trước</t>
        </is>
      </c>
      <c r="J3" s="3" t="inlineStr">
        <is>
          <t>Dữ liệu kiểm thử</t>
        </is>
      </c>
      <c r="K3" s="3" t="inlineStr">
        <is>
          <t>Các bước thực hiện</t>
        </is>
      </c>
      <c r="L3" s="3" t="inlineStr">
        <is>
          <t>Kết quả mong đợi</t>
        </is>
      </c>
      <c r="M3" s="3" t="inlineStr">
        <is>
          <t>Hậu điều kiện cần kiểm tra</t>
        </is>
      </c>
      <c r="N3" s="3" t="inlineStr">
        <is>
          <t>Actual Result</t>
        </is>
      </c>
      <c r="O3" s="3" t="inlineStr">
        <is>
          <t>Status</t>
        </is>
      </c>
      <c r="P3" s="3" t="inlineStr">
        <is>
          <t>Severity nếu lỗi</t>
        </is>
      </c>
      <c r="Q3" s="3" t="inlineStr">
        <is>
          <t>Defect ID</t>
        </is>
      </c>
      <c r="R3" s="3" t="inlineStr">
        <is>
          <t>Tester</t>
        </is>
      </c>
      <c r="S3" s="3" t="inlineStr">
        <is>
          <t>Ngày chạy</t>
        </is>
      </c>
      <c r="T3" s="3" t="inlineStr">
        <is>
          <t>Evidence/Link</t>
        </is>
      </c>
      <c r="U3" s="3" t="inlineStr">
        <is>
          <t>Automation</t>
        </is>
      </c>
      <c r="V3" s="3" t="inlineStr">
        <is>
          <t>Ghi chú</t>
        </is>
      </c>
    </row>
    <row r="4" ht="132" customHeight="1">
      <c r="A4" s="4" t="n">
        <v>1</v>
      </c>
      <c r="B4" s="14" t="inlineStr">
        <is>
          <t>COM10-01</t>
        </is>
      </c>
      <c r="C4" s="4" t="inlineStr">
        <is>
          <t>UC-COM-10</t>
        </is>
      </c>
      <c r="D4" s="4" t="inlineStr">
        <is>
          <t>Tìm theo tên có dấu và truy vấn không dấu</t>
        </is>
      </c>
      <c r="E4" s="19" t="inlineStr">
        <is>
          <t>P1</t>
        </is>
      </c>
      <c r="F4" s="4" t="inlineStr">
        <is>
          <t>Functional</t>
        </is>
      </c>
      <c r="G4" s="4" t="inlineStr">
        <is>
          <t>API + UI/E2E</t>
        </is>
      </c>
      <c r="H4" s="4" t="inlineStr">
        <is>
          <t>GET /api/v1/common/search/
POST /api/v1/common/search/open/</t>
        </is>
      </c>
      <c r="I4" s="4" t="inlineStr">
        <is>
          <t>Có dữ liệu tìm kiếm tại C1/C2/B1/B2; permission COM.SEARCH.USE được cấu hình theo case.</t>
        </is>
      </c>
      <c r="J4" s="4" t="inlineStr">
        <is>
          <t>q=anh duong; company=C1; branch=B1; page=1; page_size=20</t>
        </is>
      </c>
      <c r="K4" s="4" t="inlineStr">
        <is>
          <t>1. Chuẩn bị dữ liệu đúng mục 'Điều kiện trước' và ghi lại các ID ban đầu.
2. Đăng nhập bằng đúng actor/role và chọn company/branch theo điều kiện trước.
3. Thực hiện kịch bản: Tìm theo tên có dấu và truy vấn không dấu.
4. Ghi lại HTTP status, response body và thông báo/điều hướng trên UI (nếu có).
5. Đối chiếu group/count/paging; mở kết quả để xác nhận re-authorization và tenant isolation.
6. So sánh toàn bộ kết quả với cột 'Kết quả mong đợi' và đính kèm evidence nếu Fail/Blocked.</t>
        </is>
      </c>
      <c r="L4" s="4" t="inlineStr">
        <is>
          <t>Trả cùng đối tượng phù hợp; highlight/preview không làm sai dữ liệu</t>
        </is>
      </c>
      <c r="M4" s="4" t="inlineStr">
        <is>
          <t>Không có dữ liệu ngoài tenant/scope trong item, preview hoặc count.</t>
        </is>
      </c>
      <c r="N4" s="4" t="inlineStr"/>
      <c r="O4" s="16" t="inlineStr">
        <is>
          <t>Not Run</t>
        </is>
      </c>
      <c r="P4" s="4" t="inlineStr"/>
      <c r="Q4" s="4" t="inlineStr"/>
      <c r="R4" s="4" t="inlineStr"/>
      <c r="S4" s="4" t="inlineStr"/>
      <c r="T4" s="4" t="inlineStr"/>
      <c r="U4" s="4" t="inlineStr">
        <is>
          <t>Candidate</t>
        </is>
      </c>
      <c r="V4" s="4" t="inlineStr"/>
    </row>
    <row r="5" ht="132" customHeight="1">
      <c r="A5" s="5" t="n">
        <v>2</v>
      </c>
      <c r="B5" s="17" t="inlineStr">
        <is>
          <t>COM10-02</t>
        </is>
      </c>
      <c r="C5" s="5" t="inlineStr">
        <is>
          <t>UC-COM-10</t>
        </is>
      </c>
      <c r="D5" s="5" t="inlineStr">
        <is>
          <t>Query có khoảng trắng thừa, đúng 2 ký tự, 1 ký tự, &gt;255 ký tự</t>
        </is>
      </c>
      <c r="E5" s="19" t="inlineStr">
        <is>
          <t>P1</t>
        </is>
      </c>
      <c r="F5" s="5" t="inlineStr">
        <is>
          <t>Functional</t>
        </is>
      </c>
      <c r="G5" s="5" t="inlineStr">
        <is>
          <t>API + UI/E2E</t>
        </is>
      </c>
      <c r="H5" s="5" t="inlineStr">
        <is>
          <t>GET /api/v1/common/search/
POST /api/v1/common/search/open/</t>
        </is>
      </c>
      <c r="I5" s="5" t="inlineStr">
        <is>
          <t>Có dữ liệu tìm kiếm tại C1/C2/B1/B2; permission COM.SEARCH.USE được cấu hình theo case.</t>
        </is>
      </c>
      <c r="J5" s="5" t="inlineStr">
        <is>
          <t>q=anh duong; company=C1; branch=B1; page=1; page_size=20</t>
        </is>
      </c>
      <c r="K5" s="5" t="inlineStr">
        <is>
          <t>1. Chuẩn bị dữ liệu đúng mục 'Điều kiện trước' và ghi lại các ID ban đầu.
2. Đăng nhập bằng đúng actor/role và chọn company/branch theo điều kiện trước.
3. Thực hiện kịch bản: Query có khoảng trắng thừa, đúng 2 ký tự, 1 ký tự, &gt;255 ký tự.
4. Ghi lại HTTP status, response body và thông báo/điều hướng trên UI (nếu có).
5. Đối chiếu group/count/paging; mở kết quả để xác nhận re-authorization và tenant isolation.
6. So sánh toàn bộ kết quả với cột 'Kết quả mong đợi' và đính kèm evidence nếu Fail/Blocked.</t>
        </is>
      </c>
      <c r="L5" s="5" t="inlineStr">
        <is>
          <t>Chuẩn hóa hợp lệ; biên sai trả 400</t>
        </is>
      </c>
      <c r="M5" s="5" t="inlineStr">
        <is>
          <t>Không có dữ liệu ngoài tenant/scope trong item, preview hoặc count.</t>
        </is>
      </c>
      <c r="N5" s="5" t="inlineStr"/>
      <c r="O5" s="18" t="inlineStr">
        <is>
          <t>Not Run</t>
        </is>
      </c>
      <c r="P5" s="5" t="inlineStr"/>
      <c r="Q5" s="5" t="inlineStr"/>
      <c r="R5" s="5" t="inlineStr"/>
      <c r="S5" s="5" t="inlineStr"/>
      <c r="T5" s="5" t="inlineStr"/>
      <c r="U5" s="5" t="inlineStr">
        <is>
          <t>Candidate</t>
        </is>
      </c>
      <c r="V5" s="5" t="inlineStr"/>
    </row>
    <row r="6" ht="132" customHeight="1">
      <c r="A6" s="4" t="n">
        <v>3</v>
      </c>
      <c r="B6" s="14" t="inlineStr">
        <is>
          <t>COM10-03</t>
        </is>
      </c>
      <c r="C6" s="4" t="inlineStr">
        <is>
          <t>UC-COM-10</t>
        </is>
      </c>
      <c r="D6" s="4" t="inlineStr">
        <is>
          <t>User không có COM.SEARCH.USE</t>
        </is>
      </c>
      <c r="E6" s="15" t="inlineStr">
        <is>
          <t>P0</t>
        </is>
      </c>
      <c r="F6" s="4" t="inlineStr">
        <is>
          <t>Functional</t>
        </is>
      </c>
      <c r="G6" s="4" t="inlineStr">
        <is>
          <t>API + UI/E2E</t>
        </is>
      </c>
      <c r="H6" s="4" t="inlineStr">
        <is>
          <t>GET /api/v1/common/search/
POST /api/v1/common/search/open/</t>
        </is>
      </c>
      <c r="I6" s="4" t="inlineStr">
        <is>
          <t>Có dữ liệu tìm kiếm tại C1/C2/B1/B2; permission COM.SEARCH.USE được cấu hình theo case.</t>
        </is>
      </c>
      <c r="J6" s="4" t="inlineStr">
        <is>
          <t>q=anh duong; company=C1; branch=B1; page=1; page_size=20</t>
        </is>
      </c>
      <c r="K6" s="4" t="inlineStr">
        <is>
          <t>1. Chuẩn bị dữ liệu đúng mục 'Điều kiện trước' và ghi lại các ID ban đầu.
2. Đăng nhập bằng đúng actor/role và chọn company/branch theo điều kiện trước.
3. Thực hiện kịch bản: User không có COM.SEARCH.USE.
4. Ghi lại HTTP status, response body và thông báo/điều hướng trên UI (nếu có).
5. Đối chiếu group/count/paging; mở kết quả để xác nhận re-authorization và tenant isolation.
6. So sánh toàn bộ kết quả với cột 'Kết quả mong đợi' và đính kèm evidence nếu Fail/Blocked.</t>
        </is>
      </c>
      <c r="L6" s="4" t="inlineStr">
        <is>
          <t>403; không trả tổng số hay preview</t>
        </is>
      </c>
      <c r="M6" s="4" t="inlineStr">
        <is>
          <t>Không có dữ liệu ngoài tenant/scope trong item, preview hoặc count.</t>
        </is>
      </c>
      <c r="N6" s="4" t="inlineStr"/>
      <c r="O6" s="16" t="inlineStr">
        <is>
          <t>Not Run</t>
        </is>
      </c>
      <c r="P6" s="4" t="inlineStr"/>
      <c r="Q6" s="4" t="inlineStr"/>
      <c r="R6" s="4" t="inlineStr"/>
      <c r="S6" s="4" t="inlineStr"/>
      <c r="T6" s="4" t="inlineStr"/>
      <c r="U6" s="4" t="inlineStr">
        <is>
          <t>Candidate</t>
        </is>
      </c>
      <c r="V6" s="4" t="inlineStr"/>
    </row>
    <row r="7" ht="132" customHeight="1">
      <c r="A7" s="5" t="n">
        <v>4</v>
      </c>
      <c r="B7" s="17" t="inlineStr">
        <is>
          <t>COM10-04</t>
        </is>
      </c>
      <c r="C7" s="5" t="inlineStr">
        <is>
          <t>UC-COM-10</t>
        </is>
      </c>
      <c r="D7" s="5" t="inlineStr">
        <is>
          <t>Kết quả thuộc company khác/branch ngoài scope</t>
        </is>
      </c>
      <c r="E7" s="15" t="inlineStr">
        <is>
          <t>P0</t>
        </is>
      </c>
      <c r="F7" s="5" t="inlineStr">
        <is>
          <t>Security/Authorization</t>
        </is>
      </c>
      <c r="G7" s="5" t="inlineStr">
        <is>
          <t>API + Integration</t>
        </is>
      </c>
      <c r="H7" s="5" t="inlineStr">
        <is>
          <t>GET /api/v1/common/search/
POST /api/v1/common/search/open/</t>
        </is>
      </c>
      <c r="I7" s="5" t="inlineStr">
        <is>
          <t>Có dữ liệu tìm kiếm tại C1/C2/B1/B2; permission COM.SEARCH.USE được cấu hình theo case.</t>
        </is>
      </c>
      <c r="J7" s="5" t="inlineStr">
        <is>
          <t>q=anh duong; company=C1; branch=B1; page=1; page_size=20
Bổ sung: Dùng UUID hợp lệ nhưng thuộc C2 hoặc branch ngoài Data Scope</t>
        </is>
      </c>
      <c r="K7" s="5" t="inlineStr">
        <is>
          <t>1. Chuẩn bị dữ liệu đúng mục 'Điều kiện trước' và ghi lại các ID ban đầu.
2. Đăng nhập bằng đúng actor/role và chọn company/branch theo điều kiện trước.
3. Thực hiện kịch bản: Kết quả thuộc company khác/branch ngoài scope.
4. Ghi lại HTTP status, response body và thông báo/điều hướng trên UI (nếu có).
5. Đối chiếu group/count/paging; mở kết quả để xác nhận re-authorization và tenant isolation.
6. So sánh toàn bộ kết quả với cột 'Kết quả mong đợi' và đính kèm evidence nếu Fail/Blocked.</t>
        </is>
      </c>
      <c r="L7" s="5" t="inlineStr">
        <is>
          <t>Không xuất hiện trong bất kỳ group/count nào</t>
        </is>
      </c>
      <c r="M7" s="5" t="inlineStr">
        <is>
          <t>Không có dữ liệu ngoài tenant/scope trong item, preview hoặc count.</t>
        </is>
      </c>
      <c r="N7" s="5" t="inlineStr"/>
      <c r="O7" s="18" t="inlineStr">
        <is>
          <t>Not Run</t>
        </is>
      </c>
      <c r="P7" s="5" t="inlineStr"/>
      <c r="Q7" s="5" t="inlineStr"/>
      <c r="R7" s="5" t="inlineStr"/>
      <c r="S7" s="5" t="inlineStr"/>
      <c r="T7" s="5" t="inlineStr"/>
      <c r="U7" s="5" t="inlineStr">
        <is>
          <t>Candidate</t>
        </is>
      </c>
      <c r="V7" s="5" t="inlineStr"/>
    </row>
    <row r="8" ht="132" customHeight="1">
      <c r="A8" s="4" t="n">
        <v>5</v>
      </c>
      <c r="B8" s="14" t="inlineStr">
        <is>
          <t>COM10-05</t>
        </is>
      </c>
      <c r="C8" s="4" t="inlineStr">
        <is>
          <t>UC-COM-10</t>
        </is>
      </c>
      <c r="D8" s="4" t="inlineStr">
        <is>
          <t>Lọc group/status/date/branch</t>
        </is>
      </c>
      <c r="E8" s="19" t="inlineStr">
        <is>
          <t>P1</t>
        </is>
      </c>
      <c r="F8" s="4" t="inlineStr">
        <is>
          <t>Functional</t>
        </is>
      </c>
      <c r="G8" s="4" t="inlineStr">
        <is>
          <t>API + UI/E2E</t>
        </is>
      </c>
      <c r="H8" s="4" t="inlineStr">
        <is>
          <t>GET /api/v1/common/search/
POST /api/v1/common/search/open/</t>
        </is>
      </c>
      <c r="I8" s="4" t="inlineStr">
        <is>
          <t>Có dữ liệu tìm kiếm tại C1/C2/B1/B2; permission COM.SEARCH.USE được cấu hình theo case.</t>
        </is>
      </c>
      <c r="J8" s="4" t="inlineStr">
        <is>
          <t>q=anh duong; company=C1; branch=B1; page=1; page_size=20</t>
        </is>
      </c>
      <c r="K8" s="4" t="inlineStr">
        <is>
          <t>1. Chuẩn bị dữ liệu đúng mục 'Điều kiện trước' và ghi lại các ID ban đầu.
2. Đăng nhập bằng đúng actor/role và chọn company/branch theo điều kiện trước.
3. Thực hiện kịch bản: Lọc group/status/date/branch.
4. Ghi lại HTTP status, response body và thông báo/điều hướng trên UI (nếu có).
5. Đối chiếu group/count/paging; mở kết quả để xác nhận re-authorization và tenant isolation.
6. So sánh toàn bộ kết quả với cột 'Kết quả mong đợi' và đính kèm evidence nếu Fail/Blocked.</t>
        </is>
      </c>
      <c r="L8" s="4" t="inlineStr">
        <is>
          <t>Kết quả và total theo đúng điều kiện</t>
        </is>
      </c>
      <c r="M8" s="4" t="inlineStr">
        <is>
          <t>Không có dữ liệu ngoài tenant/scope trong item, preview hoặc count.</t>
        </is>
      </c>
      <c r="N8" s="4" t="inlineStr"/>
      <c r="O8" s="16" t="inlineStr">
        <is>
          <t>Not Run</t>
        </is>
      </c>
      <c r="P8" s="4" t="inlineStr"/>
      <c r="Q8" s="4" t="inlineStr"/>
      <c r="R8" s="4" t="inlineStr"/>
      <c r="S8" s="4" t="inlineStr"/>
      <c r="T8" s="4" t="inlineStr"/>
      <c r="U8" s="4" t="inlineStr">
        <is>
          <t>Candidate</t>
        </is>
      </c>
      <c r="V8" s="4" t="inlineStr"/>
    </row>
    <row r="9" ht="132" customHeight="1">
      <c r="A9" s="5" t="n">
        <v>6</v>
      </c>
      <c r="B9" s="17" t="inlineStr">
        <is>
          <t>COM10-06</t>
        </is>
      </c>
      <c r="C9" s="5" t="inlineStr">
        <is>
          <t>UC-COM-10</t>
        </is>
      </c>
      <c r="D9" s="5" t="inlineStr">
        <is>
          <t>Pagination theo group với page/page_size/preview_size biên</t>
        </is>
      </c>
      <c r="E9" s="19" t="inlineStr">
        <is>
          <t>P1</t>
        </is>
      </c>
      <c r="F9" s="5" t="inlineStr">
        <is>
          <t>Functional</t>
        </is>
      </c>
      <c r="G9" s="5" t="inlineStr">
        <is>
          <t>API + UI/E2E</t>
        </is>
      </c>
      <c r="H9" s="5" t="inlineStr">
        <is>
          <t>GET /api/v1/common/search/
POST /api/v1/common/search/open/</t>
        </is>
      </c>
      <c r="I9" s="5" t="inlineStr">
        <is>
          <t>Có dữ liệu tìm kiếm tại C1/C2/B1/B2; permission COM.SEARCH.USE được cấu hình theo case.</t>
        </is>
      </c>
      <c r="J9" s="5" t="inlineStr">
        <is>
          <t>q=anh duong; company=C1; branch=B1; page=1; page_size=20</t>
        </is>
      </c>
      <c r="K9" s="5" t="inlineStr">
        <is>
          <t>1. Chuẩn bị dữ liệu đúng mục 'Điều kiện trước' và ghi lại các ID ban đầu.
2. Đăng nhập bằng đúng actor/role và chọn company/branch theo điều kiện trước.
3. Thực hiện kịch bản: Pagination theo group với page/page_size/preview_size biên.
4. Ghi lại HTTP status, response body và thông báo/điều hướng trên UI (nếu có).
5. Đối chiếu group/count/paging; mở kết quả để xác nhận re-authorization và tenant isolation.
6. So sánh toàn bộ kết quả với cột 'Kết quả mong đợi' và đính kèm evidence nếu Fail/Blocked.</t>
        </is>
      </c>
      <c r="L9" s="5" t="inlineStr">
        <is>
          <t>Không trùng/mất bản ghi; max lần lượt 100/20 được thực thi</t>
        </is>
      </c>
      <c r="M9" s="5" t="inlineStr">
        <is>
          <t>Không có dữ liệu ngoài tenant/scope trong item, preview hoặc count.</t>
        </is>
      </c>
      <c r="N9" s="5" t="inlineStr"/>
      <c r="O9" s="18" t="inlineStr">
        <is>
          <t>Not Run</t>
        </is>
      </c>
      <c r="P9" s="5" t="inlineStr"/>
      <c r="Q9" s="5" t="inlineStr"/>
      <c r="R9" s="5" t="inlineStr"/>
      <c r="S9" s="5" t="inlineStr"/>
      <c r="T9" s="5" t="inlineStr"/>
      <c r="U9" s="5" t="inlineStr">
        <is>
          <t>Candidate</t>
        </is>
      </c>
      <c r="V9" s="5" t="inlineStr"/>
    </row>
    <row r="10" ht="132" customHeight="1">
      <c r="A10" s="4" t="n">
        <v>7</v>
      </c>
      <c r="B10" s="14" t="inlineStr">
        <is>
          <t>COM10-07</t>
        </is>
      </c>
      <c r="C10" s="4" t="inlineStr">
        <is>
          <t>UC-COM-10</t>
        </is>
      </c>
      <c r="D10" s="4" t="inlineStr">
        <is>
          <t>Không truyền company nhưng có current_company</t>
        </is>
      </c>
      <c r="E10" s="19" t="inlineStr">
        <is>
          <t>P1</t>
        </is>
      </c>
      <c r="F10" s="4" t="inlineStr">
        <is>
          <t>Functional</t>
        </is>
      </c>
      <c r="G10" s="4" t="inlineStr">
        <is>
          <t>API + UI/E2E</t>
        </is>
      </c>
      <c r="H10" s="4" t="inlineStr">
        <is>
          <t>GET /api/v1/common/search/
POST /api/v1/common/search/open/</t>
        </is>
      </c>
      <c r="I10" s="4" t="inlineStr">
        <is>
          <t>Có dữ liệu tìm kiếm tại C1/C2/B1/B2; permission COM.SEARCH.USE được cấu hình theo case.</t>
        </is>
      </c>
      <c r="J10" s="4" t="inlineStr">
        <is>
          <t>q=anh duong; company=C1; branch=B1; page=1; page_size=20</t>
        </is>
      </c>
      <c r="K10" s="4" t="inlineStr">
        <is>
          <t>1. Chuẩn bị dữ liệu đúng mục 'Điều kiện trước' và ghi lại các ID ban đầu.
2. Đăng nhập bằng đúng actor/role và chọn company/branch theo điều kiện trước.
3. Thực hiện kịch bản: Không truyền company nhưng có current_company.
4. Ghi lại HTTP status, response body và thông báo/điều hướng trên UI (nếu có).
5. Đối chiếu group/count/paging; mở kết quả để xác nhận re-authorization và tenant isolation.
6. So sánh toàn bộ kết quả với cột 'Kết quả mong đợi' và đính kèm evidence nếu Fail/Blocked.</t>
        </is>
      </c>
      <c r="L10" s="4" t="inlineStr">
        <is>
          <t>Dùng đúng current company; thiếu cả hai trả lỗi an toàn</t>
        </is>
      </c>
      <c r="M10" s="4" t="inlineStr">
        <is>
          <t>Không có dữ liệu ngoài tenant/scope trong item, preview hoặc count.</t>
        </is>
      </c>
      <c r="N10" s="4" t="inlineStr"/>
      <c r="O10" s="16" t="inlineStr">
        <is>
          <t>Not Run</t>
        </is>
      </c>
      <c r="P10" s="4" t="inlineStr"/>
      <c r="Q10" s="4" t="inlineStr"/>
      <c r="R10" s="4" t="inlineStr"/>
      <c r="S10" s="4" t="inlineStr"/>
      <c r="T10" s="4" t="inlineStr"/>
      <c r="U10" s="4" t="inlineStr">
        <is>
          <t>Candidate</t>
        </is>
      </c>
      <c r="V10" s="4" t="inlineStr"/>
    </row>
    <row r="11" ht="132" customHeight="1">
      <c r="A11" s="5" t="n">
        <v>8</v>
      </c>
      <c r="B11" s="17" t="inlineStr">
        <is>
          <t>COM10-08</t>
        </is>
      </c>
      <c r="C11" s="5" t="inlineStr">
        <is>
          <t>UC-COM-10</t>
        </is>
      </c>
      <c r="D11" s="5" t="inlineStr">
        <is>
          <t>Mở kết quả hợp lệ</t>
        </is>
      </c>
      <c r="E11" s="15" t="inlineStr">
        <is>
          <t>P0</t>
        </is>
      </c>
      <c r="F11" s="5" t="inlineStr">
        <is>
          <t>Functional</t>
        </is>
      </c>
      <c r="G11" s="5" t="inlineStr">
        <is>
          <t>API + UI/E2E</t>
        </is>
      </c>
      <c r="H11" s="5" t="inlineStr">
        <is>
          <t>GET /api/v1/common/search/
POST /api/v1/common/search/open/</t>
        </is>
      </c>
      <c r="I11" s="5" t="inlineStr">
        <is>
          <t>Có dữ liệu tìm kiếm tại C1/C2/B1/B2; permission COM.SEARCH.USE được cấu hình theo case.</t>
        </is>
      </c>
      <c r="J11" s="5" t="inlineStr">
        <is>
          <t>q=anh duong; company=C1; branch=B1; page=1; page_size=20</t>
        </is>
      </c>
      <c r="K11" s="5" t="inlineStr">
        <is>
          <t>1. Chuẩn bị dữ liệu đúng mục 'Điều kiện trước' và ghi lại các ID ban đầu.
2. Đăng nhập bằng đúng actor/role và chọn company/branch theo điều kiện trước.
3. Thực hiện kịch bản: Mở kết quả hợp lệ.
4. Ghi lại HTTP status, response body và thông báo/điều hướng trên UI (nếu có).
5. Đối chiếu group/count/paging; mở kết quả để xác nhận re-authorization và tenant isolation.
6. So sánh toàn bộ kết quả với cột 'Kết quả mong đợi' và đính kèm evidence nếu Fail/Blocked.</t>
        </is>
      </c>
      <c r="L11" s="5" t="inlineStr">
        <is>
          <t>Re-check membership, permission, scope và trạng thái entity; trả link đích đúng</t>
        </is>
      </c>
      <c r="M11" s="5" t="inlineStr">
        <is>
          <t>Không có dữ liệu ngoài tenant/scope trong item, preview hoặc count.</t>
        </is>
      </c>
      <c r="N11" s="5" t="inlineStr"/>
      <c r="O11" s="18" t="inlineStr">
        <is>
          <t>Not Run</t>
        </is>
      </c>
      <c r="P11" s="5" t="inlineStr"/>
      <c r="Q11" s="5" t="inlineStr"/>
      <c r="R11" s="5" t="inlineStr"/>
      <c r="S11" s="5" t="inlineStr"/>
      <c r="T11" s="5" t="inlineStr"/>
      <c r="U11" s="5" t="inlineStr">
        <is>
          <t>Candidate</t>
        </is>
      </c>
      <c r="V11" s="5" t="inlineStr"/>
    </row>
    <row r="12" ht="132" customHeight="1">
      <c r="A12" s="4" t="n">
        <v>9</v>
      </c>
      <c r="B12" s="14" t="inlineStr">
        <is>
          <t>COM10-09</t>
        </is>
      </c>
      <c r="C12" s="4" t="inlineStr">
        <is>
          <t>UC-COM-10</t>
        </is>
      </c>
      <c r="D12" s="4" t="inlineStr">
        <is>
          <t>Permission bị thu hồi hoặc entity bị xóa/inactive sau search</t>
        </is>
      </c>
      <c r="E12" s="15" t="inlineStr">
        <is>
          <t>P0</t>
        </is>
      </c>
      <c r="F12" s="4" t="inlineStr">
        <is>
          <t>Security/Authorization</t>
        </is>
      </c>
      <c r="G12" s="4" t="inlineStr">
        <is>
          <t>API + Integration</t>
        </is>
      </c>
      <c r="H12" s="4" t="inlineStr">
        <is>
          <t>GET /api/v1/common/search/
POST /api/v1/common/search/open/</t>
        </is>
      </c>
      <c r="I12" s="4" t="inlineStr">
        <is>
          <t>Có dữ liệu tìm kiếm tại C1/C2/B1/B2; permission COM.SEARCH.USE được cấu hình theo case.</t>
        </is>
      </c>
      <c r="J12" s="4" t="inlineStr">
        <is>
          <t>q=anh duong; company=C1; branch=B1; page=1; page_size=20</t>
        </is>
      </c>
      <c r="K12" s="4" t="inlineStr">
        <is>
          <t>1. Chuẩn bị dữ liệu đúng mục 'Điều kiện trước' và ghi lại các ID ban đầu.
2. Đăng nhập bằng đúng actor/role và chọn company/branch theo điều kiện trước.
3. Thực hiện kịch bản: Permission bị thu hồi hoặc entity bị xóa/inactive sau search.
4. Ghi lại HTTP status, response body và thông báo/điều hướng trên UI (nếu có).
5. Đối chiếu group/count/paging; mở kết quả để xác nhận re-authorization và tenant isolation.
6. So sánh toàn bộ kết quả với cột 'Kết quả mong đợi' và đính kèm evidence nếu Fail/Blocked.</t>
        </is>
      </c>
      <c r="L12" s="4" t="inlineStr">
        <is>
          <t>Open bị từ chối/cảnh báo phù hợp; không dùng quyền cache cũ</t>
        </is>
      </c>
      <c r="M12" s="4" t="inlineStr">
        <is>
          <t>Không có dữ liệu ngoài tenant/scope trong item, preview hoặc count.</t>
        </is>
      </c>
      <c r="N12" s="4" t="inlineStr"/>
      <c r="O12" s="16" t="inlineStr">
        <is>
          <t>Not Run</t>
        </is>
      </c>
      <c r="P12" s="4" t="inlineStr"/>
      <c r="Q12" s="4" t="inlineStr"/>
      <c r="R12" s="4" t="inlineStr"/>
      <c r="S12" s="4" t="inlineStr"/>
      <c r="T12" s="4" t="inlineStr"/>
      <c r="U12" s="4" t="inlineStr">
        <is>
          <t>Candidate</t>
        </is>
      </c>
      <c r="V12" s="4" t="inlineStr"/>
    </row>
    <row r="13" ht="132" customHeight="1">
      <c r="A13" s="5" t="n">
        <v>10</v>
      </c>
      <c r="B13" s="17" t="inlineStr">
        <is>
          <t>COM10-10</t>
        </is>
      </c>
      <c r="C13" s="5" t="inlineStr">
        <is>
          <t>UC-COM-10</t>
        </is>
      </c>
      <c r="D13" s="5" t="inlineStr">
        <is>
          <t>Thử SQL wildcard/injection/XSS payload trong q</t>
        </is>
      </c>
      <c r="E13" s="15" t="inlineStr">
        <is>
          <t>P0</t>
        </is>
      </c>
      <c r="F13" s="5" t="inlineStr">
        <is>
          <t>Security/Authorization</t>
        </is>
      </c>
      <c r="G13" s="5" t="inlineStr">
        <is>
          <t>API + Integration</t>
        </is>
      </c>
      <c r="H13" s="5" t="inlineStr">
        <is>
          <t>GET /api/v1/common/search/
POST /api/v1/common/search/open/</t>
        </is>
      </c>
      <c r="I13" s="5" t="inlineStr">
        <is>
          <t>Có dữ liệu tìm kiếm tại C1/C2/B1/B2; permission COM.SEARCH.USE được cấu hình theo case.</t>
        </is>
      </c>
      <c r="J13" s="5" t="inlineStr">
        <is>
          <t>q=anh duong; company=C1; branch=B1; page=1; page_size=20</t>
        </is>
      </c>
      <c r="K13" s="5" t="inlineStr">
        <is>
          <t>1. Chuẩn bị dữ liệu đúng mục 'Điều kiện trước' và ghi lại các ID ban đầu.
2. Đăng nhập bằng đúng actor/role và chọn company/branch theo điều kiện trước.
3. Thực hiện kịch bản: Thử SQL wildcard/injection/XSS payload trong q.
4. Ghi lại HTTP status, response body và thông báo/điều hướng trên UI (nếu có).
5. Đối chiếu group/count/paging; mở kết quả để xác nhận re-authorization và tenant isolation.
6. So sánh toàn bộ kết quả với cột 'Kết quả mong đợi' và đính kèm evidence nếu Fail/Blocked.</t>
        </is>
      </c>
      <c r="L13" s="5" t="inlineStr">
        <is>
          <t>Không lỗi 5xx, không injection, output được encode tại UI</t>
        </is>
      </c>
      <c r="M13" s="5" t="inlineStr">
        <is>
          <t>Không có dữ liệu ngoài tenant/scope trong item, preview hoặc count.</t>
        </is>
      </c>
      <c r="N13" s="5" t="inlineStr"/>
      <c r="O13" s="18" t="inlineStr">
        <is>
          <t>Not Run</t>
        </is>
      </c>
      <c r="P13" s="5" t="inlineStr"/>
      <c r="Q13" s="5" t="inlineStr"/>
      <c r="R13" s="5" t="inlineStr"/>
      <c r="S13" s="5" t="inlineStr"/>
      <c r="T13" s="5" t="inlineStr"/>
      <c r="U13" s="5" t="inlineStr">
        <is>
          <t>Candidate</t>
        </is>
      </c>
      <c r="V13" s="5" t="inlineStr"/>
    </row>
    <row r="14" ht="132" customHeight="1">
      <c r="A14" s="4" t="n">
        <v>11</v>
      </c>
      <c r="B14" s="14" t="inlineStr">
        <is>
          <t>COM10-11</t>
        </is>
      </c>
      <c r="C14" s="4" t="inlineStr">
        <is>
          <t>UC-COM-10</t>
        </is>
      </c>
      <c r="D14" s="4" t="inlineStr">
        <is>
          <t>Đo latency với dữ liệu lớn và truy vấn không có kết quả</t>
        </is>
      </c>
      <c r="E14" s="19" t="inlineStr">
        <is>
          <t>P1</t>
        </is>
      </c>
      <c r="F14" s="4" t="inlineStr">
        <is>
          <t>Performance/Resilience</t>
        </is>
      </c>
      <c r="G14" s="4" t="inlineStr">
        <is>
          <t>API + Integration</t>
        </is>
      </c>
      <c r="H14" s="4" t="inlineStr">
        <is>
          <t>GET /api/v1/common/search/
POST /api/v1/common/search/open/</t>
        </is>
      </c>
      <c r="I14" s="4" t="inlineStr">
        <is>
          <t>Có dữ liệu tìm kiếm tại C1/C2/B1/B2; permission COM.SEARCH.USE được cấu hình theo case.</t>
        </is>
      </c>
      <c r="J14" s="4" t="inlineStr">
        <is>
          <t>q=anh duong; company=C1; branch=B1; page=1; page_size=20</t>
        </is>
      </c>
      <c r="K14" s="4" t="inlineStr">
        <is>
          <t>1. Chuẩn bị dữ liệu đúng mục 'Điều kiện trước' và ghi lại các ID ban đầu.
2. Đăng nhập bằng đúng actor/role và chọn company/branch theo điều kiện trước.
3. Thực hiện kịch bản: Đo latency với dữ liệu lớn và truy vấn không có kết quả.
4. Ghi lại HTTP status, response body và thông báo/điều hướng trên UI (nếu có).
5. Đối chiếu group/count/paging; mở kết quả để xác nhận re-authorization và tenant isolation.
6. So sánh toàn bộ kết quả với cột 'Kết quả mong đợi' và đính kèm evidence nếu Fail/Blocked.</t>
        </is>
      </c>
      <c r="L14" s="4" t="inlineStr">
        <is>
          <t>Đạt SLA; response ổn định, không full-table payload</t>
        </is>
      </c>
      <c r="M14" s="4" t="inlineStr">
        <is>
          <t>Không có dữ liệu ngoài tenant/scope trong item, preview hoặc count.</t>
        </is>
      </c>
      <c r="N14" s="4" t="inlineStr"/>
      <c r="O14" s="16" t="inlineStr">
        <is>
          <t>Not Run</t>
        </is>
      </c>
      <c r="P14" s="4" t="inlineStr"/>
      <c r="Q14" s="4" t="inlineStr"/>
      <c r="R14" s="4" t="inlineStr"/>
      <c r="S14" s="4" t="inlineStr"/>
      <c r="T14" s="4" t="inlineStr"/>
      <c r="U14" s="4" t="inlineStr">
        <is>
          <t>Candidate</t>
        </is>
      </c>
      <c r="V14" s="4" t="inlineStr"/>
    </row>
  </sheetData>
  <autoFilter ref="A3:V14"/>
  <mergeCells count="2">
    <mergeCell ref="A2:V2"/>
    <mergeCell ref="A1:V1"/>
  </mergeCells>
  <conditionalFormatting sqref="O4:O14">
    <cfRule type="expression" priority="1" dxfId="0">
      <formula>$O4="Pass"</formula>
    </cfRule>
    <cfRule type="expression" priority="2" dxfId="1">
      <formula>$O4="Fail"</formula>
    </cfRule>
    <cfRule type="expression" priority="3" dxfId="2">
      <formula>$O4="Blocked"</formula>
    </cfRule>
    <cfRule type="expression" priority="4" dxfId="3">
      <formula>$O4="N/A"</formula>
    </cfRule>
  </conditionalFormatting>
  <dataValidations count="3">
    <dataValidation sqref="O4:O14" showDropDown="0" showInputMessage="0" showErrorMessage="0" allowBlank="1" type="list">
      <formula1>"Not Run,Pass,Fail,Blocked,N/A"</formula1>
    </dataValidation>
    <dataValidation sqref="P4:P14" showDropDown="0" showInputMessage="0" showErrorMessage="0" allowBlank="1" type="list">
      <formula1>"S1 Critical,S2 High,S3 Medium,S4 Low"</formula1>
    </dataValidation>
    <dataValidation sqref="U4:U14" showDropDown="0" showInputMessage="0" showErrorMessage="0" allowBlank="1" type="list">
      <formula1>"Manual,Automated,Candidate,Not Applicable"</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V15"/>
  <sheetViews>
    <sheetView showGridLines="0"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4" customWidth="1" min="2" max="2"/>
    <col width="14" customWidth="1" min="3" max="3"/>
    <col width="42" customWidth="1" min="4" max="4"/>
    <col width="10" customWidth="1" min="5" max="5"/>
    <col width="23" customWidth="1" min="6" max="6"/>
    <col width="18" customWidth="1" min="7" max="7"/>
    <col width="50" customWidth="1" min="8" max="8"/>
    <col width="48" customWidth="1" min="9" max="9"/>
    <col width="50" customWidth="1" min="10" max="10"/>
    <col width="70" customWidth="1" min="11" max="11"/>
    <col width="62" customWidth="1" min="12" max="12"/>
    <col width="46" customWidth="1" min="13" max="13"/>
    <col width="50" customWidth="1" min="14" max="14"/>
    <col width="13" customWidth="1" min="15" max="15"/>
    <col width="16" customWidth="1" min="16" max="16"/>
    <col width="16" customWidth="1" min="17" max="17"/>
    <col width="18" customWidth="1" min="18" max="18"/>
    <col width="14" customWidth="1" min="19" max="19"/>
    <col width="30" customWidth="1" min="20" max="20"/>
    <col width="16" customWidth="1" min="21" max="21"/>
    <col width="34" customWidth="1" min="22" max="22"/>
  </cols>
  <sheetData>
    <row r="1" ht="32" customHeight="1">
      <c r="A1" s="1" t="inlineStr">
        <is>
          <t>UC-COM-11 – Xem việc cần xử lý</t>
        </is>
      </c>
    </row>
    <row r="2" ht="30" customHeight="1">
      <c r="A2" s="2" t="inlineStr">
        <is>
          <t>Nguồn: COMMON_SERVICES_TEST_PLAN.md | 12 test case</t>
        </is>
      </c>
    </row>
    <row r="3" ht="38" customHeight="1">
      <c r="A3" s="3" t="inlineStr">
        <is>
          <t>STT</t>
        </is>
      </c>
      <c r="B3" s="3" t="inlineStr">
        <is>
          <t>Test Case ID</t>
        </is>
      </c>
      <c r="C3" s="3" t="inlineStr">
        <is>
          <t>UC ID</t>
        </is>
      </c>
      <c r="D3" s="3" t="inlineStr">
        <is>
          <t>Tên test case</t>
        </is>
      </c>
      <c r="E3" s="3" t="inlineStr">
        <is>
          <t>Priority</t>
        </is>
      </c>
      <c r="F3" s="3" t="inlineStr">
        <is>
          <t>Loại kiểm thử</t>
        </is>
      </c>
      <c r="G3" s="3" t="inlineStr">
        <is>
          <t>Lớp</t>
        </is>
      </c>
      <c r="H3" s="3" t="inlineStr">
        <is>
          <t>Endpoint/API</t>
        </is>
      </c>
      <c r="I3" s="3" t="inlineStr">
        <is>
          <t>Điều kiện trước</t>
        </is>
      </c>
      <c r="J3" s="3" t="inlineStr">
        <is>
          <t>Dữ liệu kiểm thử</t>
        </is>
      </c>
      <c r="K3" s="3" t="inlineStr">
        <is>
          <t>Các bước thực hiện</t>
        </is>
      </c>
      <c r="L3" s="3" t="inlineStr">
        <is>
          <t>Kết quả mong đợi</t>
        </is>
      </c>
      <c r="M3" s="3" t="inlineStr">
        <is>
          <t>Hậu điều kiện cần kiểm tra</t>
        </is>
      </c>
      <c r="N3" s="3" t="inlineStr">
        <is>
          <t>Actual Result</t>
        </is>
      </c>
      <c r="O3" s="3" t="inlineStr">
        <is>
          <t>Status</t>
        </is>
      </c>
      <c r="P3" s="3" t="inlineStr">
        <is>
          <t>Severity nếu lỗi</t>
        </is>
      </c>
      <c r="Q3" s="3" t="inlineStr">
        <is>
          <t>Defect ID</t>
        </is>
      </c>
      <c r="R3" s="3" t="inlineStr">
        <is>
          <t>Tester</t>
        </is>
      </c>
      <c r="S3" s="3" t="inlineStr">
        <is>
          <t>Ngày chạy</t>
        </is>
      </c>
      <c r="T3" s="3" t="inlineStr">
        <is>
          <t>Evidence/Link</t>
        </is>
      </c>
      <c r="U3" s="3" t="inlineStr">
        <is>
          <t>Automation</t>
        </is>
      </c>
      <c r="V3" s="3" t="inlineStr">
        <is>
          <t>Ghi chú</t>
        </is>
      </c>
    </row>
    <row r="4" ht="132" customHeight="1">
      <c r="A4" s="4" t="n">
        <v>1</v>
      </c>
      <c r="B4" s="14" t="inlineStr">
        <is>
          <t>COM11-01</t>
        </is>
      </c>
      <c r="C4" s="4" t="inlineStr">
        <is>
          <t>UC-COM-11</t>
        </is>
      </c>
      <c r="D4" s="4" t="inlineStr">
        <is>
          <t>Liệt kê work-item gán trực tiếp cho user</t>
        </is>
      </c>
      <c r="E4" s="19" t="inlineStr">
        <is>
          <t>P1</t>
        </is>
      </c>
      <c r="F4" s="4" t="inlineStr">
        <is>
          <t>Functional</t>
        </is>
      </c>
      <c r="G4" s="4" t="inlineStr">
        <is>
          <t>API + UI/E2E</t>
        </is>
      </c>
      <c r="H4" s="4" t="inlineStr">
        <is>
          <t>GET /api/v1/common/work-items/
GET /api/v1/common/work-items/count/
POST /api/v1/common/work-items/{id}/open/
GET /api/v1/common/work-items/{id}/history/</t>
        </is>
      </c>
      <c r="I4" s="4" t="inlineStr">
        <is>
          <t>Có W1–W6; assignment trực tiếp/theo role; due_at và permission theo case.</t>
        </is>
      </c>
      <c r="J4" s="4" t="inlineStr">
        <is>
          <t>work_items=W1–W6; company=C1; branch=B1</t>
        </is>
      </c>
      <c r="K4" s="4" t="inlineStr">
        <is>
          <t>1. Chuẩn bị dữ liệu đúng mục 'Điều kiện trước' và ghi lại các ID ban đầu.
2. Đăng nhập bằng đúng actor/role và chọn company/branch theo điều kiện trước.
3. Thực hiện kịch bản: Liệt kê work-item gán trực tiếp cho user.
4. Ghi lại HTTP status, response body và thông báo/điều hướng trên UI (nếu có).
5. Đối chiếu list/count/order/history; mở item để xác nhận entity, scope và transition.
6. So sánh toàn bộ kết quả với cột 'Kết quả mong đợi' và đính kèm evidence nếu Fail/Blocked.</t>
        </is>
      </c>
      <c r="L4" s="4" t="inlineStr">
        <is>
          <t>Trả đúng company/scope/permission, phân trang chính xác</t>
        </is>
      </c>
      <c r="M4" s="4" t="inlineStr">
        <is>
          <t>Status, due_at, dedupe_key và history nhất quán.</t>
        </is>
      </c>
      <c r="N4" s="4" t="inlineStr"/>
      <c r="O4" s="16" t="inlineStr">
        <is>
          <t>Not Run</t>
        </is>
      </c>
      <c r="P4" s="4" t="inlineStr"/>
      <c r="Q4" s="4" t="inlineStr"/>
      <c r="R4" s="4" t="inlineStr"/>
      <c r="S4" s="4" t="inlineStr"/>
      <c r="T4" s="4" t="inlineStr"/>
      <c r="U4" s="4" t="inlineStr">
        <is>
          <t>Candidate</t>
        </is>
      </c>
      <c r="V4" s="4" t="inlineStr"/>
    </row>
    <row r="5" ht="132" customHeight="1">
      <c r="A5" s="5" t="n">
        <v>2</v>
      </c>
      <c r="B5" s="17" t="inlineStr">
        <is>
          <t>COM11-02</t>
        </is>
      </c>
      <c r="C5" s="5" t="inlineStr">
        <is>
          <t>UC-COM-11</t>
        </is>
      </c>
      <c r="D5" s="5" t="inlineStr">
        <is>
          <t>Work-item gán theo role của user</t>
        </is>
      </c>
      <c r="E5" s="19" t="inlineStr">
        <is>
          <t>P1</t>
        </is>
      </c>
      <c r="F5" s="5" t="inlineStr">
        <is>
          <t>Functional</t>
        </is>
      </c>
      <c r="G5" s="5" t="inlineStr">
        <is>
          <t>API + UI/E2E</t>
        </is>
      </c>
      <c r="H5" s="5" t="inlineStr">
        <is>
          <t>GET /api/v1/common/work-items/
GET /api/v1/common/work-items/count/
POST /api/v1/common/work-items/{id}/open/
GET /api/v1/common/work-items/{id}/history/</t>
        </is>
      </c>
      <c r="I5" s="5" t="inlineStr">
        <is>
          <t>Có W1–W6; assignment trực tiếp/theo role; due_at và permission theo case.</t>
        </is>
      </c>
      <c r="J5" s="5" t="inlineStr">
        <is>
          <t>work_items=W1–W6; company=C1; branch=B1</t>
        </is>
      </c>
      <c r="K5" s="5" t="inlineStr">
        <is>
          <t>1. Chuẩn bị dữ liệu đúng mục 'Điều kiện trước' và ghi lại các ID ban đầu.
2. Đăng nhập bằng đúng actor/role và chọn company/branch theo điều kiện trước.
3. Thực hiện kịch bản: Work-item gán theo role của user.
4. Ghi lại HTTP status, response body và thông báo/điều hướng trên UI (nếu có).
5. Đối chiếu list/count/order/history; mở item để xác nhận entity, scope và transition.
6. So sánh toàn bộ kết quả với cột 'Kết quả mong đợi' và đính kèm evidence nếu Fail/Blocked.</t>
        </is>
      </c>
      <c r="L5" s="5" t="inlineStr">
        <is>
          <t>Hiển thị khi assignment hiệu lực; ẩn khi role hết hiệu lực/bị revoke</t>
        </is>
      </c>
      <c r="M5" s="5" t="inlineStr">
        <is>
          <t>Status, due_at, dedupe_key và history nhất quán.</t>
        </is>
      </c>
      <c r="N5" s="5" t="inlineStr"/>
      <c r="O5" s="18" t="inlineStr">
        <is>
          <t>Not Run</t>
        </is>
      </c>
      <c r="P5" s="5" t="inlineStr"/>
      <c r="Q5" s="5" t="inlineStr"/>
      <c r="R5" s="5" t="inlineStr"/>
      <c r="S5" s="5" t="inlineStr"/>
      <c r="T5" s="5" t="inlineStr"/>
      <c r="U5" s="5" t="inlineStr">
        <is>
          <t>Candidate</t>
        </is>
      </c>
      <c r="V5" s="5" t="inlineStr"/>
    </row>
    <row r="6" ht="132" customHeight="1">
      <c r="A6" s="4" t="n">
        <v>3</v>
      </c>
      <c r="B6" s="14" t="inlineStr">
        <is>
          <t>COM11-03</t>
        </is>
      </c>
      <c r="C6" s="4" t="inlineStr">
        <is>
          <t>UC-COM-11</t>
        </is>
      </c>
      <c r="D6" s="4" t="inlineStr">
        <is>
          <t>Item C2 hoặc branch ngoài scope</t>
        </is>
      </c>
      <c r="E6" s="15" t="inlineStr">
        <is>
          <t>P0</t>
        </is>
      </c>
      <c r="F6" s="4" t="inlineStr">
        <is>
          <t>Security/Authorization</t>
        </is>
      </c>
      <c r="G6" s="4" t="inlineStr">
        <is>
          <t>API + Integration</t>
        </is>
      </c>
      <c r="H6" s="4" t="inlineStr">
        <is>
          <t>GET /api/v1/common/work-items/
GET /api/v1/common/work-items/count/
POST /api/v1/common/work-items/{id}/open/
GET /api/v1/common/work-items/{id}/history/</t>
        </is>
      </c>
      <c r="I6" s="4" t="inlineStr">
        <is>
          <t>Có W1–W6; assignment trực tiếp/theo role; due_at và permission theo case.</t>
        </is>
      </c>
      <c r="J6" s="4" t="inlineStr">
        <is>
          <t>work_items=W1–W6; company=C1; branch=B1
Bổ sung: Dùng UUID hợp lệ nhưng thuộc C2 hoặc branch ngoài Data Scope</t>
        </is>
      </c>
      <c r="K6" s="4" t="inlineStr">
        <is>
          <t>1. Chuẩn bị dữ liệu đúng mục 'Điều kiện trước' và ghi lại các ID ban đầu.
2. Đăng nhập bằng đúng actor/role và chọn company/branch theo điều kiện trước.
3. Thực hiện kịch bản: Item C2 hoặc branch ngoài scope.
4. Ghi lại HTTP status, response body và thông báo/điều hướng trên UI (nếu có).
5. Đối chiếu list/count/order/history; mở item để xác nhận entity, scope và transition.
6. So sánh toàn bộ kết quả với cột 'Kết quả mong đợi' và đính kèm evidence nếu Fail/Blocked.</t>
        </is>
      </c>
      <c r="L6" s="4" t="inlineStr">
        <is>
          <t>Không xuất hiện và không truy cập được bằng ID</t>
        </is>
      </c>
      <c r="M6" s="4" t="inlineStr">
        <is>
          <t>Status, due_at, dedupe_key và history nhất quán.</t>
        </is>
      </c>
      <c r="N6" s="4" t="inlineStr"/>
      <c r="O6" s="16" t="inlineStr">
        <is>
          <t>Not Run</t>
        </is>
      </c>
      <c r="P6" s="4" t="inlineStr"/>
      <c r="Q6" s="4" t="inlineStr"/>
      <c r="R6" s="4" t="inlineStr"/>
      <c r="S6" s="4" t="inlineStr"/>
      <c r="T6" s="4" t="inlineStr"/>
      <c r="U6" s="4" t="inlineStr">
        <is>
          <t>Candidate</t>
        </is>
      </c>
      <c r="V6" s="4" t="inlineStr"/>
    </row>
    <row r="7" ht="132" customHeight="1">
      <c r="A7" s="5" t="n">
        <v>4</v>
      </c>
      <c r="B7" s="17" t="inlineStr">
        <is>
          <t>COM11-04</t>
        </is>
      </c>
      <c r="C7" s="5" t="inlineStr">
        <is>
          <t>UC-COM-11</t>
        </is>
      </c>
      <c r="D7" s="5" t="inlineStr">
        <is>
          <t>Item PENDING/IN_PROGRESS quá due_at</t>
        </is>
      </c>
      <c r="E7" s="19" t="inlineStr">
        <is>
          <t>P1</t>
        </is>
      </c>
      <c r="F7" s="5" t="inlineStr">
        <is>
          <t>Functional</t>
        </is>
      </c>
      <c r="G7" s="5" t="inlineStr">
        <is>
          <t>API + UI/E2E</t>
        </is>
      </c>
      <c r="H7" s="5" t="inlineStr">
        <is>
          <t>GET /api/v1/common/work-items/
GET /api/v1/common/work-items/count/
POST /api/v1/common/work-items/{id}/open/
GET /api/v1/common/work-items/{id}/history/</t>
        </is>
      </c>
      <c r="I7" s="5" t="inlineStr">
        <is>
          <t>Có W1–W6; assignment trực tiếp/theo role; due_at và permission theo case.</t>
        </is>
      </c>
      <c r="J7" s="5" t="inlineStr">
        <is>
          <t>work_items=W1–W6; company=C1; branch=B1</t>
        </is>
      </c>
      <c r="K7" s="5" t="inlineStr">
        <is>
          <t>1. Chuẩn bị dữ liệu đúng mục 'Điều kiện trước' và ghi lại các ID ban đầu.
2. Đăng nhập bằng đúng actor/role và chọn company/branch theo điều kiện trước.
3. Thực hiện kịch bản: Item PENDING/IN_PROGRESS quá due_at.
4. Ghi lại HTTP status, response body và thông báo/điều hướng trên UI (nếu có).
5. Đối chiếu list/count/order/history; mở item để xác nhận entity, scope và transition.
6. So sánh toàn bộ kết quả với cột 'Kết quả mong đợi' và đính kèm evidence nếu Fail/Blocked.</t>
        </is>
      </c>
      <c r="L7" s="5" t="inlineStr">
        <is>
          <t>Tự chuyển OVERDUE; tạo history đúng, không tạo lặp mỗi lần GET</t>
        </is>
      </c>
      <c r="M7" s="5" t="inlineStr">
        <is>
          <t>Status, due_at, dedupe_key và history nhất quán.</t>
        </is>
      </c>
      <c r="N7" s="5" t="inlineStr"/>
      <c r="O7" s="18" t="inlineStr">
        <is>
          <t>Not Run</t>
        </is>
      </c>
      <c r="P7" s="5" t="inlineStr"/>
      <c r="Q7" s="5" t="inlineStr"/>
      <c r="R7" s="5" t="inlineStr"/>
      <c r="S7" s="5" t="inlineStr"/>
      <c r="T7" s="5" t="inlineStr"/>
      <c r="U7" s="5" t="inlineStr">
        <is>
          <t>Candidate</t>
        </is>
      </c>
      <c r="V7" s="5" t="inlineStr"/>
    </row>
    <row r="8" ht="132" customHeight="1">
      <c r="A8" s="4" t="n">
        <v>5</v>
      </c>
      <c r="B8" s="14" t="inlineStr">
        <is>
          <t>COM11-05</t>
        </is>
      </c>
      <c r="C8" s="4" t="inlineStr">
        <is>
          <t>UC-COM-11</t>
        </is>
      </c>
      <c r="D8" s="4" t="inlineStr">
        <is>
          <t>Lọc task_type/status/priority/q/due_from/due_to</t>
        </is>
      </c>
      <c r="E8" s="19" t="inlineStr">
        <is>
          <t>P1</t>
        </is>
      </c>
      <c r="F8" s="4" t="inlineStr">
        <is>
          <t>Functional</t>
        </is>
      </c>
      <c r="G8" s="4" t="inlineStr">
        <is>
          <t>API + UI/E2E</t>
        </is>
      </c>
      <c r="H8" s="4" t="inlineStr">
        <is>
          <t>GET /api/v1/common/work-items/
GET /api/v1/common/work-items/count/
POST /api/v1/common/work-items/{id}/open/
GET /api/v1/common/work-items/{id}/history/</t>
        </is>
      </c>
      <c r="I8" s="4" t="inlineStr">
        <is>
          <t>Có W1–W6; assignment trực tiếp/theo role; due_at và permission theo case.</t>
        </is>
      </c>
      <c r="J8" s="4" t="inlineStr">
        <is>
          <t>work_items=W1–W6; company=C1; branch=B1</t>
        </is>
      </c>
      <c r="K8" s="4" t="inlineStr">
        <is>
          <t>1. Chuẩn bị dữ liệu đúng mục 'Điều kiện trước' và ghi lại các ID ban đầu.
2. Đăng nhập bằng đúng actor/role và chọn company/branch theo điều kiện trước.
3. Thực hiện kịch bản: Lọc task_type/status/priority/q/due_from/due_to.
4. Ghi lại HTTP status, response body và thông báo/điều hướng trên UI (nếu có).
5. Đối chiếu list/count/order/history; mở item để xác nhận entity, scope và transition.
6. So sánh toàn bộ kết quả với cột 'Kết quả mong đợi' và đính kèm evidence nếu Fail/Blocked.</t>
        </is>
      </c>
      <c r="L8" s="4" t="inlineStr">
        <is>
          <t>Kết quả đúng giao của bộ lọc</t>
        </is>
      </c>
      <c r="M8" s="4" t="inlineStr">
        <is>
          <t>Status, due_at, dedupe_key và history nhất quán.</t>
        </is>
      </c>
      <c r="N8" s="4" t="inlineStr"/>
      <c r="O8" s="16" t="inlineStr">
        <is>
          <t>Not Run</t>
        </is>
      </c>
      <c r="P8" s="4" t="inlineStr"/>
      <c r="Q8" s="4" t="inlineStr"/>
      <c r="R8" s="4" t="inlineStr"/>
      <c r="S8" s="4" t="inlineStr"/>
      <c r="T8" s="4" t="inlineStr"/>
      <c r="U8" s="4" t="inlineStr">
        <is>
          <t>Candidate</t>
        </is>
      </c>
      <c r="V8" s="4" t="inlineStr"/>
    </row>
    <row r="9" ht="132" customHeight="1">
      <c r="A9" s="5" t="n">
        <v>6</v>
      </c>
      <c r="B9" s="17" t="inlineStr">
        <is>
          <t>COM11-06</t>
        </is>
      </c>
      <c r="C9" s="5" t="inlineStr">
        <is>
          <t>UC-COM-11</t>
        </is>
      </c>
      <c r="D9" s="5" t="inlineStr">
        <is>
          <t>Sắp xếp mặc định và theo due_at/created_at</t>
        </is>
      </c>
      <c r="E9" s="19" t="inlineStr">
        <is>
          <t>P1</t>
        </is>
      </c>
      <c r="F9" s="5" t="inlineStr">
        <is>
          <t>Functional</t>
        </is>
      </c>
      <c r="G9" s="5" t="inlineStr">
        <is>
          <t>API + UI/E2E</t>
        </is>
      </c>
      <c r="H9" s="5" t="inlineStr">
        <is>
          <t>GET /api/v1/common/work-items/
GET /api/v1/common/work-items/count/
POST /api/v1/common/work-items/{id}/open/
GET /api/v1/common/work-items/{id}/history/</t>
        </is>
      </c>
      <c r="I9" s="5" t="inlineStr">
        <is>
          <t>Có W1–W6; assignment trực tiếp/theo role; due_at và permission theo case.</t>
        </is>
      </c>
      <c r="J9" s="5" t="inlineStr">
        <is>
          <t>work_items=W1–W6; company=C1; branch=B1</t>
        </is>
      </c>
      <c r="K9" s="5" t="inlineStr">
        <is>
          <t>1. Chuẩn bị dữ liệu đúng mục 'Điều kiện trước' và ghi lại các ID ban đầu.
2. Đăng nhập bằng đúng actor/role và chọn company/branch theo điều kiện trước.
3. Thực hiện kịch bản: Sắp xếp mặc định và theo due_at/created_at.
4. Ghi lại HTTP status, response body và thông báo/điều hướng trên UI (nếu có).
5. Đối chiếu list/count/order/history; mở item để xác nhận entity, scope và transition.
6. So sánh toàn bộ kết quả với cột 'Kết quả mong đợi' và đính kèm evidence nếu Fail/Blocked.</t>
        </is>
      </c>
      <c r="L9" s="5" t="inlineStr">
        <is>
          <t>OVERDUE trước; URGENT &gt; HIGH &gt; NORMAL; thứ tự ổn định</t>
        </is>
      </c>
      <c r="M9" s="5" t="inlineStr">
        <is>
          <t>Status, due_at, dedupe_key và history nhất quán.</t>
        </is>
      </c>
      <c r="N9" s="5" t="inlineStr"/>
      <c r="O9" s="18" t="inlineStr">
        <is>
          <t>Not Run</t>
        </is>
      </c>
      <c r="P9" s="5" t="inlineStr"/>
      <c r="Q9" s="5" t="inlineStr"/>
      <c r="R9" s="5" t="inlineStr"/>
      <c r="S9" s="5" t="inlineStr"/>
      <c r="T9" s="5" t="inlineStr"/>
      <c r="U9" s="5" t="inlineStr">
        <is>
          <t>Candidate</t>
        </is>
      </c>
      <c r="V9" s="5" t="inlineStr"/>
    </row>
    <row r="10" ht="132" customHeight="1">
      <c r="A10" s="4" t="n">
        <v>7</v>
      </c>
      <c r="B10" s="14" t="inlineStr">
        <is>
          <t>COM11-07</t>
        </is>
      </c>
      <c r="C10" s="4" t="inlineStr">
        <is>
          <t>UC-COM-11</t>
        </is>
      </c>
      <c r="D10" s="4" t="inlineStr">
        <is>
          <t>Count việc đang mở</t>
        </is>
      </c>
      <c r="E10" s="19" t="inlineStr">
        <is>
          <t>P1</t>
        </is>
      </c>
      <c r="F10" s="4" t="inlineStr">
        <is>
          <t>Functional</t>
        </is>
      </c>
      <c r="G10" s="4" t="inlineStr">
        <is>
          <t>API + UI/E2E</t>
        </is>
      </c>
      <c r="H10" s="4" t="inlineStr">
        <is>
          <t>GET /api/v1/common/work-items/
GET /api/v1/common/work-items/count/
POST /api/v1/common/work-items/{id}/open/
GET /api/v1/common/work-items/{id}/history/</t>
        </is>
      </c>
      <c r="I10" s="4" t="inlineStr">
        <is>
          <t>Có W1–W6; assignment trực tiếp/theo role; due_at và permission theo case.</t>
        </is>
      </c>
      <c r="J10" s="4" t="inlineStr">
        <is>
          <t>work_items=W1–W6; company=C1; branch=B1</t>
        </is>
      </c>
      <c r="K10" s="4" t="inlineStr">
        <is>
          <t>1. Chuẩn bị dữ liệu đúng mục 'Điều kiện trước' và ghi lại các ID ban đầu.
2. Đăng nhập bằng đúng actor/role và chọn company/branch theo điều kiện trước.
3. Thực hiện kịch bản: Count việc đang mở.
4. Ghi lại HTTP status, response body và thông báo/điều hướng trên UI (nếu có).
5. Đối chiếu list/count/order/history; mở item để xác nhận entity, scope và transition.
6. So sánh toàn bộ kết quả với cột 'Kết quả mong đợi' và đính kèm evidence nếu Fail/Blocked.</t>
        </is>
      </c>
      <c r="L10" s="4" t="inlineStr">
        <is>
          <t>Chỉ đếm PENDING/IN_PROGRESS/OVERDUE trong phạm vi nhìn thấy</t>
        </is>
      </c>
      <c r="M10" s="4" t="inlineStr">
        <is>
          <t>Status, due_at, dedupe_key và history nhất quán.</t>
        </is>
      </c>
      <c r="N10" s="4" t="inlineStr"/>
      <c r="O10" s="16" t="inlineStr">
        <is>
          <t>Not Run</t>
        </is>
      </c>
      <c r="P10" s="4" t="inlineStr"/>
      <c r="Q10" s="4" t="inlineStr"/>
      <c r="R10" s="4" t="inlineStr"/>
      <c r="S10" s="4" t="inlineStr"/>
      <c r="T10" s="4" t="inlineStr"/>
      <c r="U10" s="4" t="inlineStr">
        <is>
          <t>Candidate</t>
        </is>
      </c>
      <c r="V10" s="4" t="inlineStr"/>
    </row>
    <row r="11" ht="132" customHeight="1">
      <c r="A11" s="5" t="n">
        <v>8</v>
      </c>
      <c r="B11" s="17" t="inlineStr">
        <is>
          <t>COM11-08</t>
        </is>
      </c>
      <c r="C11" s="5" t="inlineStr">
        <is>
          <t>UC-COM-11</t>
        </is>
      </c>
      <c r="D11" s="5" t="inlineStr">
        <is>
          <t>Open item hợp lệ</t>
        </is>
      </c>
      <c r="E11" s="15" t="inlineStr">
        <is>
          <t>P0</t>
        </is>
      </c>
      <c r="F11" s="5" t="inlineStr">
        <is>
          <t>Functional</t>
        </is>
      </c>
      <c r="G11" s="5" t="inlineStr">
        <is>
          <t>API + UI/E2E</t>
        </is>
      </c>
      <c r="H11" s="5" t="inlineStr">
        <is>
          <t>GET /api/v1/common/work-items/
GET /api/v1/common/work-items/count/
POST /api/v1/common/work-items/{id}/open/
GET /api/v1/common/work-items/{id}/history/</t>
        </is>
      </c>
      <c r="I11" s="5" t="inlineStr">
        <is>
          <t>Có W1–W6; assignment trực tiếp/theo role; due_at và permission theo case.</t>
        </is>
      </c>
      <c r="J11" s="5" t="inlineStr">
        <is>
          <t>work_items=W1–W6; company=C1; branch=B1</t>
        </is>
      </c>
      <c r="K11" s="5" t="inlineStr">
        <is>
          <t>1. Chuẩn bị dữ liệu đúng mục 'Điều kiện trước' và ghi lại các ID ban đầu.
2. Đăng nhập bằng đúng actor/role và chọn company/branch theo điều kiện trước.
3. Thực hiện kịch bản: Open item hợp lệ.
4. Ghi lại HTTP status, response body và thông báo/điều hướng trên UI (nếu có).
5. Đối chiếu list/count/order/history; mở item để xác nhận entity, scope và transition.
6. So sánh toàn bộ kết quả với cột 'Kết quả mong đợi' và đính kèm evidence nếu Fail/Blocked.</t>
        </is>
      </c>
      <c r="L11" s="5" t="inlineStr">
        <is>
          <t>Re-check entity/permission/scope; chuyển sang IN_PROGRESS nếu phù hợp; trả link; ghi history</t>
        </is>
      </c>
      <c r="M11" s="5" t="inlineStr">
        <is>
          <t>Status, due_at, dedupe_key và history nhất quán.</t>
        </is>
      </c>
      <c r="N11" s="5" t="inlineStr"/>
      <c r="O11" s="18" t="inlineStr">
        <is>
          <t>Not Run</t>
        </is>
      </c>
      <c r="P11" s="5" t="inlineStr"/>
      <c r="Q11" s="5" t="inlineStr"/>
      <c r="R11" s="5" t="inlineStr"/>
      <c r="S11" s="5" t="inlineStr"/>
      <c r="T11" s="5" t="inlineStr"/>
      <c r="U11" s="5" t="inlineStr">
        <is>
          <t>Candidate</t>
        </is>
      </c>
      <c r="V11" s="5" t="inlineStr"/>
    </row>
    <row r="12" ht="132" customHeight="1">
      <c r="A12" s="4" t="n">
        <v>9</v>
      </c>
      <c r="B12" s="14" t="inlineStr">
        <is>
          <t>COM11-09</t>
        </is>
      </c>
      <c r="C12" s="4" t="inlineStr">
        <is>
          <t>UC-COM-11</t>
        </is>
      </c>
      <c r="D12" s="4" t="inlineStr">
        <is>
          <t>Entity không còn khả dụng hoặc permission bị thu hồi</t>
        </is>
      </c>
      <c r="E12" s="15" t="inlineStr">
        <is>
          <t>P0</t>
        </is>
      </c>
      <c r="F12" s="4" t="inlineStr">
        <is>
          <t>Security/Authorization</t>
        </is>
      </c>
      <c r="G12" s="4" t="inlineStr">
        <is>
          <t>API + Integration</t>
        </is>
      </c>
      <c r="H12" s="4" t="inlineStr">
        <is>
          <t>GET /api/v1/common/work-items/
GET /api/v1/common/work-items/count/
POST /api/v1/common/work-items/{id}/open/
GET /api/v1/common/work-items/{id}/history/</t>
        </is>
      </c>
      <c r="I12" s="4" t="inlineStr">
        <is>
          <t>Có W1–W6; assignment trực tiếp/theo role; due_at và permission theo case.</t>
        </is>
      </c>
      <c r="J12" s="4" t="inlineStr">
        <is>
          <t>work_items=W1–W6; company=C1; branch=B1</t>
        </is>
      </c>
      <c r="K12" s="4" t="inlineStr">
        <is>
          <t>1. Chuẩn bị dữ liệu đúng mục 'Điều kiện trước' và ghi lại các ID ban đầu.
2. Đăng nhập bằng đúng actor/role và chọn company/branch theo điều kiện trước.
3. Thực hiện kịch bản: Entity không còn khả dụng hoặc permission bị thu hồi.
4. Ghi lại HTTP status, response body và thông báo/điều hướng trên UI (nếu có).
5. Đối chiếu list/count/order/history; mở item để xác nhận entity, scope và transition.
6. So sánh toàn bộ kết quả với cột 'Kết quả mong đợi' và đính kèm evidence nếu Fail/Blocked.</t>
        </is>
      </c>
      <c r="L12" s="4" t="inlineStr">
        <is>
          <t>Không mở; item được cancel/ẩn theo rule; không lộ link đích</t>
        </is>
      </c>
      <c r="M12" s="4" t="inlineStr">
        <is>
          <t>Status, due_at, dedupe_key và history nhất quán.</t>
        </is>
      </c>
      <c r="N12" s="4" t="inlineStr"/>
      <c r="O12" s="16" t="inlineStr">
        <is>
          <t>Not Run</t>
        </is>
      </c>
      <c r="P12" s="4" t="inlineStr"/>
      <c r="Q12" s="4" t="inlineStr"/>
      <c r="R12" s="4" t="inlineStr"/>
      <c r="S12" s="4" t="inlineStr"/>
      <c r="T12" s="4" t="inlineStr"/>
      <c r="U12" s="4" t="inlineStr">
        <is>
          <t>Candidate</t>
        </is>
      </c>
      <c r="V12" s="4" t="inlineStr"/>
    </row>
    <row r="13" ht="132" customHeight="1">
      <c r="A13" s="5" t="n">
        <v>10</v>
      </c>
      <c r="B13" s="17" t="inlineStr">
        <is>
          <t>COM11-10</t>
        </is>
      </c>
      <c r="C13" s="5" t="inlineStr">
        <is>
          <t>UC-COM-11</t>
        </is>
      </c>
      <c r="D13" s="5" t="inlineStr">
        <is>
          <t>Xem history</t>
        </is>
      </c>
      <c r="E13" s="19" t="inlineStr">
        <is>
          <t>P1</t>
        </is>
      </c>
      <c r="F13" s="5" t="inlineStr">
        <is>
          <t>Functional</t>
        </is>
      </c>
      <c r="G13" s="5" t="inlineStr">
        <is>
          <t>API + UI/E2E</t>
        </is>
      </c>
      <c r="H13" s="5" t="inlineStr">
        <is>
          <t>GET /api/v1/common/work-items/
GET /api/v1/common/work-items/count/
POST /api/v1/common/work-items/{id}/open/
GET /api/v1/common/work-items/{id}/history/</t>
        </is>
      </c>
      <c r="I13" s="5" t="inlineStr">
        <is>
          <t>Có W1–W6; assignment trực tiếp/theo role; due_at và permission theo case.</t>
        </is>
      </c>
      <c r="J13" s="5" t="inlineStr">
        <is>
          <t>work_items=W1–W6; company=C1; branch=B1</t>
        </is>
      </c>
      <c r="K13" s="5" t="inlineStr">
        <is>
          <t>1. Chuẩn bị dữ liệu đúng mục 'Điều kiện trước' và ghi lại các ID ban đầu.
2. Đăng nhập bằng đúng actor/role và chọn company/branch theo điều kiện trước.
3. Thực hiện kịch bản: Xem history.
4. Ghi lại HTTP status, response body và thông báo/điều hướng trên UI (nếu có).
5. Đối chiếu list/count/order/history; mở item để xác nhận entity, scope và transition.
6. So sánh toàn bộ kết quả với cột 'Kết quả mong đợi' và đính kèm evidence nếu Fail/Blocked.</t>
        </is>
      </c>
      <c r="L13" s="5" t="inlineStr">
        <is>
          <t>Đúng thứ tự thời gian, trạng thái trước/sau, actor, reason; chỉ user được thấy item mới thấy history</t>
        </is>
      </c>
      <c r="M13" s="5" t="inlineStr">
        <is>
          <t>Status, due_at, dedupe_key và history nhất quán.</t>
        </is>
      </c>
      <c r="N13" s="5" t="inlineStr"/>
      <c r="O13" s="18" t="inlineStr">
        <is>
          <t>Not Run</t>
        </is>
      </c>
      <c r="P13" s="5" t="inlineStr"/>
      <c r="Q13" s="5" t="inlineStr"/>
      <c r="R13" s="5" t="inlineStr"/>
      <c r="S13" s="5" t="inlineStr"/>
      <c r="T13" s="5" t="inlineStr"/>
      <c r="U13" s="5" t="inlineStr">
        <is>
          <t>Candidate</t>
        </is>
      </c>
      <c r="V13" s="5" t="inlineStr"/>
    </row>
    <row r="14" ht="132" customHeight="1">
      <c r="A14" s="4" t="n">
        <v>11</v>
      </c>
      <c r="B14" s="14" t="inlineStr">
        <is>
          <t>COM11-11</t>
        </is>
      </c>
      <c r="C14" s="4" t="inlineStr">
        <is>
          <t>UC-COM-11</t>
        </is>
      </c>
      <c r="D14" s="4" t="inlineStr">
        <is>
          <t>Tạo cùng dedupe_key nhiều lần/đồng thời</t>
        </is>
      </c>
      <c r="E14" s="19" t="inlineStr">
        <is>
          <t>P1</t>
        </is>
      </c>
      <c r="F14" s="4" t="inlineStr">
        <is>
          <t>Concurrency/Idempotency</t>
        </is>
      </c>
      <c r="G14" s="4" t="inlineStr">
        <is>
          <t>Integration</t>
        </is>
      </c>
      <c r="H14" s="4" t="inlineStr">
        <is>
          <t>GET /api/v1/common/work-items/
GET /api/v1/common/work-items/count/
POST /api/v1/common/work-items/{id}/open/
GET /api/v1/common/work-items/{id}/history/</t>
        </is>
      </c>
      <c r="I14" s="4" t="inlineStr">
        <is>
          <t>Có W1–W6; assignment trực tiếp/theo role; due_at và permission theo case.</t>
        </is>
      </c>
      <c r="J14" s="4" t="inlineStr">
        <is>
          <t>work_items=W1–W6; company=C1; branch=B1
Bổ sung: Dùng hai client/worker gửi request cùng thời điểm</t>
        </is>
      </c>
      <c r="K14" s="4" t="inlineStr">
        <is>
          <t>1. Chuẩn bị dữ liệu đúng mục 'Điều kiện trước' và ghi lại các ID ban đầu.
2. Đăng nhập bằng đúng actor/role và chọn company/branch theo điều kiện trước.
3. Thực hiện kịch bản: Tạo cùng dedupe_key nhiều lần/đồng thời.
4. Ghi lại HTTP status, response body và thông báo/điều hướng trên UI (nếu có).
5. Đối chiếu list/count/order/history; mở item để xác nhận entity, scope và transition.
6. So sánh toàn bộ kết quả với cột 'Kết quả mong đợi' và đính kèm evidence nếu Fail/Blocked.</t>
        </is>
      </c>
      <c r="L14" s="4" t="inlineStr">
        <is>
          <t>Chỉ một active work-item; không vi phạm unique/không lỗi 5xx</t>
        </is>
      </c>
      <c r="M14" s="4" t="inlineStr">
        <is>
          <t>Status, due_at, dedupe_key và history nhất quán.</t>
        </is>
      </c>
      <c r="N14" s="4" t="inlineStr"/>
      <c r="O14" s="16" t="inlineStr">
        <is>
          <t>Not Run</t>
        </is>
      </c>
      <c r="P14" s="4" t="inlineStr"/>
      <c r="Q14" s="4" t="inlineStr"/>
      <c r="R14" s="4" t="inlineStr"/>
      <c r="S14" s="4" t="inlineStr"/>
      <c r="T14" s="4" t="inlineStr"/>
      <c r="U14" s="4" t="inlineStr">
        <is>
          <t>Candidate</t>
        </is>
      </c>
      <c r="V14" s="4" t="inlineStr"/>
    </row>
    <row r="15" ht="132" customHeight="1">
      <c r="A15" s="5" t="n">
        <v>12</v>
      </c>
      <c r="B15" s="17" t="inlineStr">
        <is>
          <t>COM11-12</t>
        </is>
      </c>
      <c r="C15" s="5" t="inlineStr">
        <is>
          <t>UC-COM-11</t>
        </is>
      </c>
      <c r="D15" s="5" t="inlineStr">
        <is>
          <t>Chuyển trạng thái không hợp lệ, ví dụ OVERDUE → COMPLETED nếu rule cấm</t>
        </is>
      </c>
      <c r="E15" s="19" t="inlineStr">
        <is>
          <t>P1</t>
        </is>
      </c>
      <c r="F15" s="5" t="inlineStr">
        <is>
          <t>Functional</t>
        </is>
      </c>
      <c r="G15" s="5" t="inlineStr">
        <is>
          <t>API + UI/E2E</t>
        </is>
      </c>
      <c r="H15" s="5" t="inlineStr">
        <is>
          <t>GET /api/v1/common/work-items/
GET /api/v1/common/work-items/count/
POST /api/v1/common/work-items/{id}/open/
GET /api/v1/common/work-items/{id}/history/</t>
        </is>
      </c>
      <c r="I15" s="5" t="inlineStr">
        <is>
          <t>Có W1–W6; assignment trực tiếp/theo role; due_at và permission theo case.</t>
        </is>
      </c>
      <c r="J15" s="5" t="inlineStr">
        <is>
          <t>work_items=W1–W6; company=C1; branch=B1</t>
        </is>
      </c>
      <c r="K15" s="5" t="inlineStr">
        <is>
          <t>1. Chuẩn bị dữ liệu đúng mục 'Điều kiện trước' và ghi lại các ID ban đầu.
2. Đăng nhập bằng đúng actor/role và chọn company/branch theo điều kiện trước.
3. Thực hiện kịch bản: Chuyển trạng thái không hợp lệ, ví dụ OVERDUE → COMPLETED nếu rule cấm.
4. Ghi lại HTTP status, response body và thông báo/điều hướng trên UI (nếu có).
5. Đối chiếu list/count/order/history; mở item để xác nhận entity, scope và transition.
6. So sánh toàn bộ kết quả với cột 'Kết quả mong đợi' và đính kèm evidence nếu Fail/Blocked.</t>
        </is>
      </c>
      <c r="L15" s="5" t="inlineStr">
        <is>
          <t>Bị từ chối; trạng thái/history không thay đổi</t>
        </is>
      </c>
      <c r="M15" s="5" t="inlineStr">
        <is>
          <t>Status, due_at, dedupe_key và history nhất quán.</t>
        </is>
      </c>
      <c r="N15" s="5" t="inlineStr"/>
      <c r="O15" s="18" t="inlineStr">
        <is>
          <t>Not Run</t>
        </is>
      </c>
      <c r="P15" s="5" t="inlineStr"/>
      <c r="Q15" s="5" t="inlineStr"/>
      <c r="R15" s="5" t="inlineStr"/>
      <c r="S15" s="5" t="inlineStr"/>
      <c r="T15" s="5" t="inlineStr"/>
      <c r="U15" s="5" t="inlineStr">
        <is>
          <t>Candidate</t>
        </is>
      </c>
      <c r="V15" s="5" t="inlineStr"/>
    </row>
  </sheetData>
  <autoFilter ref="A3:V15"/>
  <mergeCells count="2">
    <mergeCell ref="A2:V2"/>
    <mergeCell ref="A1:V1"/>
  </mergeCells>
  <conditionalFormatting sqref="O4:O15">
    <cfRule type="expression" priority="1" dxfId="0">
      <formula>$O4="Pass"</formula>
    </cfRule>
    <cfRule type="expression" priority="2" dxfId="1">
      <formula>$O4="Fail"</formula>
    </cfRule>
    <cfRule type="expression" priority="3" dxfId="2">
      <formula>$O4="Blocked"</formula>
    </cfRule>
    <cfRule type="expression" priority="4" dxfId="3">
      <formula>$O4="N/A"</formula>
    </cfRule>
  </conditionalFormatting>
  <dataValidations count="3">
    <dataValidation sqref="O4:O15" showDropDown="0" showInputMessage="0" showErrorMessage="0" allowBlank="1" type="list">
      <formula1>"Not Run,Pass,Fail,Blocked,N/A"</formula1>
    </dataValidation>
    <dataValidation sqref="P4:P15" showDropDown="0" showInputMessage="0" showErrorMessage="0" allowBlank="1" type="list">
      <formula1>"S1 Critical,S2 High,S3 Medium,S4 Low"</formula1>
    </dataValidation>
    <dataValidation sqref="U4:U15" showDropDown="0" showInputMessage="0" showErrorMessage="0" allowBlank="1" type="list">
      <formula1>"Manual,Automated,Candidate,Not Applicable"</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V19"/>
  <sheetViews>
    <sheetView showGridLines="0"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4" customWidth="1" min="2" max="2"/>
    <col width="14" customWidth="1" min="3" max="3"/>
    <col width="42" customWidth="1" min="4" max="4"/>
    <col width="10" customWidth="1" min="5" max="5"/>
    <col width="23" customWidth="1" min="6" max="6"/>
    <col width="18" customWidth="1" min="7" max="7"/>
    <col width="50" customWidth="1" min="8" max="8"/>
    <col width="48" customWidth="1" min="9" max="9"/>
    <col width="50" customWidth="1" min="10" max="10"/>
    <col width="70" customWidth="1" min="11" max="11"/>
    <col width="62" customWidth="1" min="12" max="12"/>
    <col width="46" customWidth="1" min="13" max="13"/>
    <col width="50" customWidth="1" min="14" max="14"/>
    <col width="13" customWidth="1" min="15" max="15"/>
    <col width="16" customWidth="1" min="16" max="16"/>
    <col width="16" customWidth="1" min="17" max="17"/>
    <col width="18" customWidth="1" min="18" max="18"/>
    <col width="14" customWidth="1" min="19" max="19"/>
    <col width="30" customWidth="1" min="20" max="20"/>
    <col width="16" customWidth="1" min="21" max="21"/>
    <col width="34" customWidth="1" min="22" max="22"/>
  </cols>
  <sheetData>
    <row r="1" ht="32" customHeight="1">
      <c r="A1" s="1" t="inlineStr">
        <is>
          <t>UC-COM-12 – Sử dụng AI Assistant</t>
        </is>
      </c>
    </row>
    <row r="2" ht="30" customHeight="1">
      <c r="A2" s="2" t="inlineStr">
        <is>
          <t>Nguồn: COMMON_SERVICES_TEST_PLAN.md | 16 test case</t>
        </is>
      </c>
    </row>
    <row r="3" ht="38" customHeight="1">
      <c r="A3" s="3" t="inlineStr">
        <is>
          <t>STT</t>
        </is>
      </c>
      <c r="B3" s="3" t="inlineStr">
        <is>
          <t>Test Case ID</t>
        </is>
      </c>
      <c r="C3" s="3" t="inlineStr">
        <is>
          <t>UC ID</t>
        </is>
      </c>
      <c r="D3" s="3" t="inlineStr">
        <is>
          <t>Tên test case</t>
        </is>
      </c>
      <c r="E3" s="3" t="inlineStr">
        <is>
          <t>Priority</t>
        </is>
      </c>
      <c r="F3" s="3" t="inlineStr">
        <is>
          <t>Loại kiểm thử</t>
        </is>
      </c>
      <c r="G3" s="3" t="inlineStr">
        <is>
          <t>Lớp</t>
        </is>
      </c>
      <c r="H3" s="3" t="inlineStr">
        <is>
          <t>Endpoint/API</t>
        </is>
      </c>
      <c r="I3" s="3" t="inlineStr">
        <is>
          <t>Điều kiện trước</t>
        </is>
      </c>
      <c r="J3" s="3" t="inlineStr">
        <is>
          <t>Dữ liệu kiểm thử</t>
        </is>
      </c>
      <c r="K3" s="3" t="inlineStr">
        <is>
          <t>Các bước thực hiện</t>
        </is>
      </c>
      <c r="L3" s="3" t="inlineStr">
        <is>
          <t>Kết quả mong đợi</t>
        </is>
      </c>
      <c r="M3" s="3" t="inlineStr">
        <is>
          <t>Hậu điều kiện cần kiểm tra</t>
        </is>
      </c>
      <c r="N3" s="3" t="inlineStr">
        <is>
          <t>Actual Result</t>
        </is>
      </c>
      <c r="O3" s="3" t="inlineStr">
        <is>
          <t>Status</t>
        </is>
      </c>
      <c r="P3" s="3" t="inlineStr">
        <is>
          <t>Severity nếu lỗi</t>
        </is>
      </c>
      <c r="Q3" s="3" t="inlineStr">
        <is>
          <t>Defect ID</t>
        </is>
      </c>
      <c r="R3" s="3" t="inlineStr">
        <is>
          <t>Tester</t>
        </is>
      </c>
      <c r="S3" s="3" t="inlineStr">
        <is>
          <t>Ngày chạy</t>
        </is>
      </c>
      <c r="T3" s="3" t="inlineStr">
        <is>
          <t>Evidence/Link</t>
        </is>
      </c>
      <c r="U3" s="3" t="inlineStr">
        <is>
          <t>Automation</t>
        </is>
      </c>
      <c r="V3" s="3" t="inlineStr">
        <is>
          <t>Ghi chú</t>
        </is>
      </c>
    </row>
    <row r="4" ht="132" customHeight="1">
      <c r="A4" s="4" t="n">
        <v>1</v>
      </c>
      <c r="B4" s="14" t="inlineStr">
        <is>
          <t>COM12-01</t>
        </is>
      </c>
      <c r="C4" s="4" t="inlineStr">
        <is>
          <t>UC-COM-12</t>
        </is>
      </c>
      <c r="D4" s="4" t="inlineStr">
        <is>
          <t>User không có COM.AI.USE</t>
        </is>
      </c>
      <c r="E4" s="15" t="inlineStr">
        <is>
          <t>P0</t>
        </is>
      </c>
      <c r="F4" s="4" t="inlineStr">
        <is>
          <t>Functional</t>
        </is>
      </c>
      <c r="G4" s="4" t="inlineStr">
        <is>
          <t>API + UI/E2E</t>
        </is>
      </c>
      <c r="H4" s="4" t="inlineStr">
        <is>
          <t>GET|POST /api/v1/common/ai-conversations/
POST /api/v1/common/ai/query/
POST /api/v1/common/ai/{id}/{confirm|feedback}/
POST /api/v1/common/ai/{id}/source/{index}/</t>
        </is>
      </c>
      <c r="I4" s="4" t="inlineStr">
        <is>
          <t>Có COM.AI.USE theo case; chuẩn bị AI OFF/ON và provider stub success/error/timeout.</t>
        </is>
      </c>
      <c r="J4" s="4" t="inlineStr">
        <is>
          <t>question=Phân tích tình hình hiện tại; request_id=req-&lt;uuid&gt;; context có/không có dữ liệu nhạy cảm
Bổ sung: AI stub hỗ trợ success, timeout, HTTP 500, invalid JSON và oversized response</t>
        </is>
      </c>
      <c r="K4" s="4" t="inlineStr">
        <is>
          <t>1. Chuẩn bị dữ liệu đúng mục 'Điều kiện trước' và ghi lại các ID ban đầu.
2. Đăng nhập bằng đúng actor/role và chọn company/branch theo điều kiện trước.
3. Thực hiện kịch bản: User không có COM.AI.USE.
4. Ghi lại HTTP status, response body và thông báo/điều hướng trên UI (nếu có).
5. Kiểm tra interaction/conversation, provider call, redaction, scope snapshot, source và disclaimer.
6. So sánh toàn bộ kết quả với cột 'Kết quả mong đợi' và đính kèm evidence nếu Fail/Blocked.</t>
        </is>
      </c>
      <c r="L4" s="4" t="inlineStr">
        <is>
          <t>403; không gọi provider và không lưu dữ liệu nhạy cảm</t>
        </is>
      </c>
      <c r="M4" s="4" t="inlineStr">
        <is>
          <t>Không lưu/gửi secret; interaction, feedback, source và audit đúng ownership/scope.</t>
        </is>
      </c>
      <c r="N4" s="4" t="inlineStr"/>
      <c r="O4" s="16" t="inlineStr">
        <is>
          <t>Not Run</t>
        </is>
      </c>
      <c r="P4" s="4" t="inlineStr"/>
      <c r="Q4" s="4" t="inlineStr"/>
      <c r="R4" s="4" t="inlineStr"/>
      <c r="S4" s="4" t="inlineStr"/>
      <c r="T4" s="4" t="inlineStr"/>
      <c r="U4" s="4" t="inlineStr">
        <is>
          <t>Candidate</t>
        </is>
      </c>
      <c r="V4" s="4" t="inlineStr"/>
    </row>
    <row r="5" ht="132" customHeight="1">
      <c r="A5" s="5" t="n">
        <v>2</v>
      </c>
      <c r="B5" s="17" t="inlineStr">
        <is>
          <t>COM12-02</t>
        </is>
      </c>
      <c r="C5" s="5" t="inlineStr">
        <is>
          <t>UC-COM-12</t>
        </is>
      </c>
      <c r="D5" s="5" t="inlineStr">
        <is>
          <t>AI bị tắt ở company</t>
        </is>
      </c>
      <c r="E5" s="19" t="inlineStr">
        <is>
          <t>P1</t>
        </is>
      </c>
      <c r="F5" s="5" t="inlineStr">
        <is>
          <t>Functional</t>
        </is>
      </c>
      <c r="G5" s="5" t="inlineStr">
        <is>
          <t>API + UI/E2E</t>
        </is>
      </c>
      <c r="H5" s="5" t="inlineStr">
        <is>
          <t>GET|POST /api/v1/common/ai-conversations/
POST /api/v1/common/ai/query/
POST /api/v1/common/ai/{id}/{confirm|feedback}/
POST /api/v1/common/ai/{id}/source/{index}/</t>
        </is>
      </c>
      <c r="I5" s="5" t="inlineStr">
        <is>
          <t>Có COM.AI.USE theo case; chuẩn bị AI OFF/ON và provider stub success/error/timeout.</t>
        </is>
      </c>
      <c r="J5" s="5" t="inlineStr">
        <is>
          <t>question=Phân tích tình hình hiện tại; request_id=req-&lt;uuid&gt;; context có/không có dữ liệu nhạy cảm
Bổ sung: AI stub hỗ trợ success, timeout, HTTP 500, invalid JSON và oversized response</t>
        </is>
      </c>
      <c r="K5" s="5" t="inlineStr">
        <is>
          <t>1. Chuẩn bị dữ liệu đúng mục 'Điều kiện trước' và ghi lại các ID ban đầu.
2. Đăng nhập bằng đúng actor/role và chọn company/branch theo điều kiện trước.
3. Thực hiện kịch bản: AI bị tắt ở company.
4. Ghi lại HTTP status, response body và thông báo/điều hướng trên UI (nếu có).
5. Kiểm tra interaction/conversation, provider call, redaction, scope snapshot, source và disclaimer.
6. So sánh toàn bộ kết quả với cột 'Kết quả mong đợi' và đính kèm evidence nếu Fail/Blocked.</t>
        </is>
      </c>
      <c r="L5" s="5" t="inlineStr">
        <is>
          <t>503, status UNAVAILABLE, có hướng dẫn dùng chức năng thủ công</t>
        </is>
      </c>
      <c r="M5" s="5" t="inlineStr">
        <is>
          <t>Không lưu/gửi secret; interaction, feedback, source và audit đúng ownership/scope.</t>
        </is>
      </c>
      <c r="N5" s="5" t="inlineStr"/>
      <c r="O5" s="18" t="inlineStr">
        <is>
          <t>Not Run</t>
        </is>
      </c>
      <c r="P5" s="5" t="inlineStr"/>
      <c r="Q5" s="5" t="inlineStr"/>
      <c r="R5" s="5" t="inlineStr"/>
      <c r="S5" s="5" t="inlineStr"/>
      <c r="T5" s="5" t="inlineStr"/>
      <c r="U5" s="5" t="inlineStr">
        <is>
          <t>Candidate</t>
        </is>
      </c>
      <c r="V5" s="5" t="inlineStr"/>
    </row>
    <row r="6" ht="132" customHeight="1">
      <c r="A6" s="4" t="n">
        <v>3</v>
      </c>
      <c r="B6" s="14" t="inlineStr">
        <is>
          <t>COM12-03</t>
        </is>
      </c>
      <c r="C6" s="4" t="inlineStr">
        <is>
          <t>UC-COM-12</t>
        </is>
      </c>
      <c r="D6" s="4" t="inlineStr">
        <is>
          <t>AI bật nhưng dữ liệu trong scope không đủ</t>
        </is>
      </c>
      <c r="E6" s="19" t="inlineStr">
        <is>
          <t>P1</t>
        </is>
      </c>
      <c r="F6" s="4" t="inlineStr">
        <is>
          <t>Security/Authorization</t>
        </is>
      </c>
      <c r="G6" s="4" t="inlineStr">
        <is>
          <t>API + Integration</t>
        </is>
      </c>
      <c r="H6" s="4" t="inlineStr">
        <is>
          <t>GET|POST /api/v1/common/ai-conversations/
POST /api/v1/common/ai/query/
POST /api/v1/common/ai/{id}/{confirm|feedback}/
POST /api/v1/common/ai/{id}/source/{index}/</t>
        </is>
      </c>
      <c r="I6" s="4" t="inlineStr">
        <is>
          <t>Có COM.AI.USE theo case; chuẩn bị AI OFF/ON và provider stub success/error/timeout.</t>
        </is>
      </c>
      <c r="J6" s="4" t="inlineStr">
        <is>
          <t>question=Phân tích tình hình hiện tại; request_id=req-&lt;uuid&gt;; context có/không có dữ liệu nhạy cảm
Bổ sung: AI stub hỗ trợ success, timeout, HTTP 500, invalid JSON và oversized response</t>
        </is>
      </c>
      <c r="K6" s="4" t="inlineStr">
        <is>
          <t>1. Chuẩn bị dữ liệu đúng mục 'Điều kiện trước' và ghi lại các ID ban đầu.
2. Đăng nhập bằng đúng actor/role và chọn company/branch theo điều kiện trước.
3. Thực hiện kịch bản: AI bật nhưng dữ liệu trong scope không đủ.
4. Ghi lại HTTP status, response body và thông báo/điều hướng trên UI (nếu có).
5. Kiểm tra interaction/conversation, provider call, redaction, scope snapshot, source và disclaimer.
6. So sánh toàn bộ kết quả với cột 'Kết quả mong đợi' và đính kèm evidence nếu Fail/Blocked.</t>
        </is>
      </c>
      <c r="L6" s="4" t="inlineStr">
        <is>
          <t>201, status INSUFFICIENT_DATA, không bịa nguồn/kết luận</t>
        </is>
      </c>
      <c r="M6" s="4" t="inlineStr">
        <is>
          <t>Không lưu/gửi secret; interaction, feedback, source và audit đúng ownership/scope.</t>
        </is>
      </c>
      <c r="N6" s="4" t="inlineStr"/>
      <c r="O6" s="16" t="inlineStr">
        <is>
          <t>Not Run</t>
        </is>
      </c>
      <c r="P6" s="4" t="inlineStr"/>
      <c r="Q6" s="4" t="inlineStr"/>
      <c r="R6" s="4" t="inlineStr"/>
      <c r="S6" s="4" t="inlineStr"/>
      <c r="T6" s="4" t="inlineStr"/>
      <c r="U6" s="4" t="inlineStr">
        <is>
          <t>Candidate</t>
        </is>
      </c>
      <c r="V6" s="4" t="inlineStr"/>
    </row>
    <row r="7" ht="132" customHeight="1">
      <c r="A7" s="5" t="n">
        <v>4</v>
      </c>
      <c r="B7" s="17" t="inlineStr">
        <is>
          <t>COM12-04</t>
        </is>
      </c>
      <c r="C7" s="5" t="inlineStr">
        <is>
          <t>UC-COM-12</t>
        </is>
      </c>
      <c r="D7" s="5" t="inlineStr">
        <is>
          <t>Tạo conversation hợp lệ theo company/branch</t>
        </is>
      </c>
      <c r="E7" s="19" t="inlineStr">
        <is>
          <t>P1</t>
        </is>
      </c>
      <c r="F7" s="5" t="inlineStr">
        <is>
          <t>Functional</t>
        </is>
      </c>
      <c r="G7" s="5" t="inlineStr">
        <is>
          <t>API + UI/E2E</t>
        </is>
      </c>
      <c r="H7" s="5" t="inlineStr">
        <is>
          <t>GET|POST /api/v1/common/ai-conversations/
POST /api/v1/common/ai/query/
POST /api/v1/common/ai/{id}/{confirm|feedback}/
POST /api/v1/common/ai/{id}/source/{index}/</t>
        </is>
      </c>
      <c r="I7" s="5" t="inlineStr">
        <is>
          <t>Có COM.AI.USE theo case; chuẩn bị AI OFF/ON và provider stub success/error/timeout.</t>
        </is>
      </c>
      <c r="J7" s="5" t="inlineStr">
        <is>
          <t>question=Phân tích tình hình hiện tại; request_id=req-&lt;uuid&gt;; context có/không có dữ liệu nhạy cảm</t>
        </is>
      </c>
      <c r="K7" s="5" t="inlineStr">
        <is>
          <t>1. Chuẩn bị dữ liệu đúng mục 'Điều kiện trước' và ghi lại các ID ban đầu.
2. Đăng nhập bằng đúng actor/role và chọn company/branch theo điều kiện trước.
3. Thực hiện kịch bản: Tạo conversation hợp lệ theo company/branch.
4. Ghi lại HTTP status, response body và thông báo/điều hướng trên UI (nếu có).
5. Kiểm tra interaction/conversation, provider call, redaction, scope snapshot, source và disclaimer.
6. So sánh toàn bộ kết quả với cột 'Kết quả mong đợi' và đính kèm evidence nếu Fail/Blocked.</t>
        </is>
      </c>
      <c r="L7" s="5" t="inlineStr">
        <is>
          <t>201; owner là user hiện tại; branch phải ACTIVE và thuộc company/scope</t>
        </is>
      </c>
      <c r="M7" s="5" t="inlineStr">
        <is>
          <t>Không lưu/gửi secret; interaction, feedback, source và audit đúng ownership/scope.</t>
        </is>
      </c>
      <c r="N7" s="5" t="inlineStr"/>
      <c r="O7" s="18" t="inlineStr">
        <is>
          <t>Not Run</t>
        </is>
      </c>
      <c r="P7" s="5" t="inlineStr"/>
      <c r="Q7" s="5" t="inlineStr"/>
      <c r="R7" s="5" t="inlineStr"/>
      <c r="S7" s="5" t="inlineStr"/>
      <c r="T7" s="5" t="inlineStr"/>
      <c r="U7" s="5" t="inlineStr">
        <is>
          <t>Candidate</t>
        </is>
      </c>
      <c r="V7" s="5" t="inlineStr"/>
    </row>
    <row r="8" ht="132" customHeight="1">
      <c r="A8" s="4" t="n">
        <v>5</v>
      </c>
      <c r="B8" s="14" t="inlineStr">
        <is>
          <t>COM12-05</t>
        </is>
      </c>
      <c r="C8" s="4" t="inlineStr">
        <is>
          <t>UC-COM-12</t>
        </is>
      </c>
      <c r="D8" s="4" t="inlineStr">
        <is>
          <t>Xem conversation/interaction của user khác hoặc C2</t>
        </is>
      </c>
      <c r="E8" s="15" t="inlineStr">
        <is>
          <t>P0</t>
        </is>
      </c>
      <c r="F8" s="4" t="inlineStr">
        <is>
          <t>Security/Authorization</t>
        </is>
      </c>
      <c r="G8" s="4" t="inlineStr">
        <is>
          <t>API + Integration</t>
        </is>
      </c>
      <c r="H8" s="4" t="inlineStr">
        <is>
          <t>GET|POST /api/v1/common/ai-conversations/
POST /api/v1/common/ai/query/
POST /api/v1/common/ai/{id}/{confirm|feedback}/
POST /api/v1/common/ai/{id}/source/{index}/</t>
        </is>
      </c>
      <c r="I8" s="4" t="inlineStr">
        <is>
          <t>Có COM.AI.USE theo case; chuẩn bị AI OFF/ON và provider stub success/error/timeout.</t>
        </is>
      </c>
      <c r="J8" s="4" t="inlineStr">
        <is>
          <t>question=Phân tích tình hình hiện tại; request_id=req-&lt;uuid&gt;; context có/không có dữ liệu nhạy cảm
Bổ sung: Dùng UUID hợp lệ nhưng thuộc C2 hoặc branch ngoài Data Scope</t>
        </is>
      </c>
      <c r="K8" s="4" t="inlineStr">
        <is>
          <t>1. Chuẩn bị dữ liệu đúng mục 'Điều kiện trước' và ghi lại các ID ban đầu.
2. Đăng nhập bằng đúng actor/role và chọn company/branch theo điều kiện trước.
3. Thực hiện kịch bản: Xem conversation/interaction của user khác hoặc C2.
4. Ghi lại HTTP status, response body và thông báo/điều hướng trên UI (nếu có).
5. Kiểm tra interaction/conversation, provider call, redaction, scope snapshot, source và disclaimer.
6. So sánh toàn bộ kết quả với cột 'Kết quả mong đợi' và đính kèm evidence nếu Fail/Blocked.</t>
        </is>
      </c>
      <c r="L8" s="4" t="inlineStr">
        <is>
          <t>404/403; không lộ question/context/answer/source</t>
        </is>
      </c>
      <c r="M8" s="4" t="inlineStr">
        <is>
          <t>Không lưu/gửi secret; interaction, feedback, source và audit đúng ownership/scope.</t>
        </is>
      </c>
      <c r="N8" s="4" t="inlineStr"/>
      <c r="O8" s="16" t="inlineStr">
        <is>
          <t>Not Run</t>
        </is>
      </c>
      <c r="P8" s="4" t="inlineStr"/>
      <c r="Q8" s="4" t="inlineStr"/>
      <c r="R8" s="4" t="inlineStr"/>
      <c r="S8" s="4" t="inlineStr"/>
      <c r="T8" s="4" t="inlineStr"/>
      <c r="U8" s="4" t="inlineStr">
        <is>
          <t>Candidate</t>
        </is>
      </c>
      <c r="V8" s="4" t="inlineStr"/>
    </row>
    <row r="9" ht="132" customHeight="1">
      <c r="A9" s="5" t="n">
        <v>6</v>
      </c>
      <c r="B9" s="17" t="inlineStr">
        <is>
          <t>COM12-06</t>
        </is>
      </c>
      <c r="C9" s="5" t="inlineStr">
        <is>
          <t>UC-COM-12</t>
        </is>
      </c>
      <c r="D9" s="5" t="inlineStr">
        <is>
          <t>Query hợp lệ theo LOOKUP/EXPLAIN/ANALYSIS/GUIDANCE</t>
        </is>
      </c>
      <c r="E9" s="19" t="inlineStr">
        <is>
          <t>P1</t>
        </is>
      </c>
      <c r="F9" s="5" t="inlineStr">
        <is>
          <t>UI/Validation</t>
        </is>
      </c>
      <c r="G9" s="5" t="inlineStr">
        <is>
          <t>UI + API</t>
        </is>
      </c>
      <c r="H9" s="5" t="inlineStr">
        <is>
          <t>GET|POST /api/v1/common/ai-conversations/
POST /api/v1/common/ai/query/
POST /api/v1/common/ai/{id}/{confirm|feedback}/
POST /api/v1/common/ai/{id}/source/{index}/</t>
        </is>
      </c>
      <c r="I9" s="5" t="inlineStr">
        <is>
          <t>Có COM.AI.USE theo case; chuẩn bị AI OFF/ON và provider stub success/error/timeout.</t>
        </is>
      </c>
      <c r="J9" s="5" t="inlineStr">
        <is>
          <t>question=Phân tích tình hình hiện tại; request_id=req-&lt;uuid&gt;; context có/không có dữ liệu nhạy cảm
Bổ sung: AI stub hỗ trợ success, timeout, HTTP 500, invalid JSON và oversized response</t>
        </is>
      </c>
      <c r="K9" s="5" t="inlineStr">
        <is>
          <t>1. Chuẩn bị dữ liệu đúng mục 'Điều kiện trước' và ghi lại các ID ban đầu.
2. Đăng nhập bằng đúng actor/role và chọn company/branch theo điều kiện trước.
3. Thực hiện kịch bản: Query hợp lệ theo LOOKUP/EXPLAIN/ANALYSIS/GUIDANCE.
4. Ghi lại HTTP status, response body và thông báo/điều hướng trên UI (nếu có).
5. Kiểm tra interaction/conversation, provider call, redaction, scope snapshot, source và disclaimer.
6. So sánh toàn bộ kết quả với cột 'Kết quả mong đợi' và đính kèm evidence nếu Fail/Blocked.</t>
        </is>
      </c>
      <c r="L9" s="5" t="inlineStr">
        <is>
          <t>Provider nhận context đã lọc; lưu type, scope snapshot, processing time, disclaimer</t>
        </is>
      </c>
      <c r="M9" s="5" t="inlineStr">
        <is>
          <t>Không lưu/gửi secret; interaction, feedback, source và audit đúng ownership/scope.</t>
        </is>
      </c>
      <c r="N9" s="5" t="inlineStr"/>
      <c r="O9" s="18" t="inlineStr">
        <is>
          <t>Not Run</t>
        </is>
      </c>
      <c r="P9" s="5" t="inlineStr"/>
      <c r="Q9" s="5" t="inlineStr"/>
      <c r="R9" s="5" t="inlineStr"/>
      <c r="S9" s="5" t="inlineStr"/>
      <c r="T9" s="5" t="inlineStr"/>
      <c r="U9" s="5" t="inlineStr">
        <is>
          <t>Candidate</t>
        </is>
      </c>
      <c r="V9" s="5" t="inlineStr"/>
    </row>
    <row r="10" ht="132" customHeight="1">
      <c r="A10" s="4" t="n">
        <v>7</v>
      </c>
      <c r="B10" s="14" t="inlineStr">
        <is>
          <t>COM12-07</t>
        </is>
      </c>
      <c r="C10" s="4" t="inlineStr">
        <is>
          <t>UC-COM-12</t>
        </is>
      </c>
      <c r="D10" s="4" t="inlineStr">
        <is>
          <t>Context chứa password/token/secret hoặc dữ liệu ngoài scope</t>
        </is>
      </c>
      <c r="E10" s="15" t="inlineStr">
        <is>
          <t>P0</t>
        </is>
      </c>
      <c r="F10" s="4" t="inlineStr">
        <is>
          <t>Security/Authorization</t>
        </is>
      </c>
      <c r="G10" s="4" t="inlineStr">
        <is>
          <t>API + Integration</t>
        </is>
      </c>
      <c r="H10" s="4" t="inlineStr">
        <is>
          <t>GET|POST /api/v1/common/ai-conversations/
POST /api/v1/common/ai/query/
POST /api/v1/common/ai/{id}/{confirm|feedback}/
POST /api/v1/common/ai/{id}/source/{index}/</t>
        </is>
      </c>
      <c r="I10" s="4" t="inlineStr">
        <is>
          <t>Có COM.AI.USE theo case; chuẩn bị AI OFF/ON và provider stub success/error/timeout.</t>
        </is>
      </c>
      <c r="J10" s="4" t="inlineStr">
        <is>
          <t>question=Phân tích tình hình hiện tại; request_id=req-&lt;uuid&gt;; context có/không có dữ liệu nhạy cảm
Bổ sung: Dùng UUID hợp lệ nhưng thuộc C2 hoặc branch ngoài Data Scope</t>
        </is>
      </c>
      <c r="K10" s="4" t="inlineStr">
        <is>
          <t>1. Chuẩn bị dữ liệu đúng mục 'Điều kiện trước' và ghi lại các ID ban đầu.
2. Đăng nhập bằng đúng actor/role và chọn company/branch theo điều kiện trước.
3. Thực hiện kịch bản: Context chứa password/token/secret hoặc dữ liệu ngoài scope.
4. Ghi lại HTTP status, response body và thông báo/điều hướng trên UI (nếu có).
5. Kiểm tra interaction/conversation, provider call, redaction, scope snapshot, source và disclaimer.
6. So sánh toàn bộ kết quả với cột 'Kết quả mong đợi' và đính kèm evidence nếu Fail/Blocked.</t>
        </is>
      </c>
      <c r="L10" s="4" t="inlineStr">
        <is>
          <t>Giá trị nhạy cảm được [REDACTED]; dữ liệu ngoài scope không gửi provider</t>
        </is>
      </c>
      <c r="M10" s="4" t="inlineStr">
        <is>
          <t>Không lưu/gửi secret; interaction, feedback, source và audit đúng ownership/scope.</t>
        </is>
      </c>
      <c r="N10" s="4" t="inlineStr"/>
      <c r="O10" s="16" t="inlineStr">
        <is>
          <t>Not Run</t>
        </is>
      </c>
      <c r="P10" s="4" t="inlineStr"/>
      <c r="Q10" s="4" t="inlineStr"/>
      <c r="R10" s="4" t="inlineStr"/>
      <c r="S10" s="4" t="inlineStr"/>
      <c r="T10" s="4" t="inlineStr"/>
      <c r="U10" s="4" t="inlineStr">
        <is>
          <t>Candidate</t>
        </is>
      </c>
      <c r="V10" s="4" t="inlineStr"/>
    </row>
    <row r="11" ht="132" customHeight="1">
      <c r="A11" s="5" t="n">
        <v>8</v>
      </c>
      <c r="B11" s="17" t="inlineStr">
        <is>
          <t>COM12-08</t>
        </is>
      </c>
      <c r="C11" s="5" t="inlineStr">
        <is>
          <t>UC-COM-12</t>
        </is>
      </c>
      <c r="D11" s="5" t="inlineStr">
        <is>
          <t>Prompt injection yêu cầu bỏ qua quyền hoặc truy xuất C2</t>
        </is>
      </c>
      <c r="E11" s="15" t="inlineStr">
        <is>
          <t>P0</t>
        </is>
      </c>
      <c r="F11" s="5" t="inlineStr">
        <is>
          <t>Security/Authorization</t>
        </is>
      </c>
      <c r="G11" s="5" t="inlineStr">
        <is>
          <t>API + Integration</t>
        </is>
      </c>
      <c r="H11" s="5" t="inlineStr">
        <is>
          <t>GET|POST /api/v1/common/ai-conversations/
POST /api/v1/common/ai/query/
POST /api/v1/common/ai/{id}/{confirm|feedback}/
POST /api/v1/common/ai/{id}/source/{index}/</t>
        </is>
      </c>
      <c r="I11" s="5" t="inlineStr">
        <is>
          <t>Có COM.AI.USE theo case; chuẩn bị AI OFF/ON và provider stub success/error/timeout.</t>
        </is>
      </c>
      <c r="J11" s="5" t="inlineStr">
        <is>
          <t>question=Phân tích tình hình hiện tại; request_id=req-&lt;uuid&gt;; context có/không có dữ liệu nhạy cảm
Bổ sung: Dùng UUID hợp lệ nhưng thuộc C2 hoặc branch ngoài Data Scope</t>
        </is>
      </c>
      <c r="K11" s="5" t="inlineStr">
        <is>
          <t>1. Chuẩn bị dữ liệu đúng mục 'Điều kiện trước' và ghi lại các ID ban đầu.
2. Đăng nhập bằng đúng actor/role và chọn company/branch theo điều kiện trước.
3. Thực hiện kịch bản: Prompt injection yêu cầu bỏ qua quyền hoặc truy xuất C2.
4. Ghi lại HTTP status, response body và thông báo/điều hướng trên UI (nếu có).
5. Kiểm tra interaction/conversation, provider call, redaction, scope snapshot, source và disclaimer.
6. So sánh toàn bộ kết quả với cột 'Kết quả mong đợi' và đính kèm evidence nếu Fail/Blocked.</t>
        </is>
      </c>
      <c r="L11" s="5" t="inlineStr">
        <is>
          <t>Không vượt Permission/Data Scope; câu trả lời không lộ dữ liệu</t>
        </is>
      </c>
      <c r="M11" s="5" t="inlineStr">
        <is>
          <t>Không lưu/gửi secret; interaction, feedback, source và audit đúng ownership/scope.</t>
        </is>
      </c>
      <c r="N11" s="5" t="inlineStr"/>
      <c r="O11" s="18" t="inlineStr">
        <is>
          <t>Not Run</t>
        </is>
      </c>
      <c r="P11" s="5" t="inlineStr"/>
      <c r="Q11" s="5" t="inlineStr"/>
      <c r="R11" s="5" t="inlineStr"/>
      <c r="S11" s="5" t="inlineStr"/>
      <c r="T11" s="5" t="inlineStr"/>
      <c r="U11" s="5" t="inlineStr">
        <is>
          <t>Candidate</t>
        </is>
      </c>
      <c r="V11" s="5" t="inlineStr"/>
    </row>
    <row r="12" ht="132" customHeight="1">
      <c r="A12" s="4" t="n">
        <v>9</v>
      </c>
      <c r="B12" s="14" t="inlineStr">
        <is>
          <t>COM12-09</t>
        </is>
      </c>
      <c r="C12" s="4" t="inlineStr">
        <is>
          <t>UC-COM-12</t>
        </is>
      </c>
      <c r="D12" s="4" t="inlineStr">
        <is>
          <t>Gửi lại cùng request_id</t>
        </is>
      </c>
      <c r="E12" s="19" t="inlineStr">
        <is>
          <t>P1</t>
        </is>
      </c>
      <c r="F12" s="4" t="inlineStr">
        <is>
          <t>Functional</t>
        </is>
      </c>
      <c r="G12" s="4" t="inlineStr">
        <is>
          <t>API + UI/E2E</t>
        </is>
      </c>
      <c r="H12" s="4" t="inlineStr">
        <is>
          <t>GET|POST /api/v1/common/ai-conversations/
POST /api/v1/common/ai/query/
POST /api/v1/common/ai/{id}/{confirm|feedback}/
POST /api/v1/common/ai/{id}/source/{index}/</t>
        </is>
      </c>
      <c r="I12" s="4" t="inlineStr">
        <is>
          <t>Có COM.AI.USE theo case; chuẩn bị AI OFF/ON và provider stub success/error/timeout.</t>
        </is>
      </c>
      <c r="J12" s="4" t="inlineStr">
        <is>
          <t>question=Phân tích tình hình hiện tại; request_id=req-&lt;uuid&gt;; context có/không có dữ liệu nhạy cảm</t>
        </is>
      </c>
      <c r="K12" s="4" t="inlineStr">
        <is>
          <t>1. Chuẩn bị dữ liệu đúng mục 'Điều kiện trước' và ghi lại các ID ban đầu.
2. Đăng nhập bằng đúng actor/role và chọn company/branch theo điều kiện trước.
3. Thực hiện kịch bản: Gửi lại cùng request_id.
4. Ghi lại HTTP status, response body và thông báo/điều hướng trên UI (nếu có).
5. Kiểm tra interaction/conversation, provider call, redaction, scope snapshot, source và disclaimer.
6. So sánh toàn bộ kết quả với cột 'Kết quả mong đợi' và đính kèm evidence nếu Fail/Blocked.</t>
        </is>
      </c>
      <c r="L12" s="4" t="inlineStr">
        <is>
          <t>Idempotent, trả interaction cũ; provider không bị gọi hai lần</t>
        </is>
      </c>
      <c r="M12" s="4" t="inlineStr">
        <is>
          <t>Không lưu/gửi secret; interaction, feedback, source và audit đúng ownership/scope.</t>
        </is>
      </c>
      <c r="N12" s="4" t="inlineStr"/>
      <c r="O12" s="16" t="inlineStr">
        <is>
          <t>Not Run</t>
        </is>
      </c>
      <c r="P12" s="4" t="inlineStr"/>
      <c r="Q12" s="4" t="inlineStr"/>
      <c r="R12" s="4" t="inlineStr"/>
      <c r="S12" s="4" t="inlineStr"/>
      <c r="T12" s="4" t="inlineStr"/>
      <c r="U12" s="4" t="inlineStr">
        <is>
          <t>Candidate</t>
        </is>
      </c>
      <c r="V12" s="4" t="inlineStr"/>
    </row>
    <row r="13" ht="132" customHeight="1">
      <c r="A13" s="5" t="n">
        <v>10</v>
      </c>
      <c r="B13" s="17" t="inlineStr">
        <is>
          <t>COM12-10</t>
        </is>
      </c>
      <c r="C13" s="5" t="inlineStr">
        <is>
          <t>UC-COM-12</t>
        </is>
      </c>
      <c r="D13" s="5" t="inlineStr">
        <is>
          <t>conversation/parent không thuộc user hoặc không tương thích</t>
        </is>
      </c>
      <c r="E13" s="19" t="inlineStr">
        <is>
          <t>P1</t>
        </is>
      </c>
      <c r="F13" s="5" t="inlineStr">
        <is>
          <t>Functional</t>
        </is>
      </c>
      <c r="G13" s="5" t="inlineStr">
        <is>
          <t>API + UI/E2E</t>
        </is>
      </c>
      <c r="H13" s="5" t="inlineStr">
        <is>
          <t>GET|POST /api/v1/common/ai-conversations/
POST /api/v1/common/ai/query/
POST /api/v1/common/ai/{id}/{confirm|feedback}/
POST /api/v1/common/ai/{id}/source/{index}/</t>
        </is>
      </c>
      <c r="I13" s="5" t="inlineStr">
        <is>
          <t>Có COM.AI.USE theo case; chuẩn bị AI OFF/ON và provider stub success/error/timeout.</t>
        </is>
      </c>
      <c r="J13" s="5" t="inlineStr">
        <is>
          <t>question=Phân tích tình hình hiện tại; request_id=req-&lt;uuid&gt;; context có/không có dữ liệu nhạy cảm</t>
        </is>
      </c>
      <c r="K13" s="5" t="inlineStr">
        <is>
          <t>1. Chuẩn bị dữ liệu đúng mục 'Điều kiện trước' và ghi lại các ID ban đầu.
2. Đăng nhập bằng đúng actor/role và chọn company/branch theo điều kiện trước.
3. Thực hiện kịch bản: conversation/parent không thuộc user hoặc không tương thích.
4. Ghi lại HTTP status, response body và thông báo/điều hướng trên UI (nếu có).
5. Kiểm tra interaction/conversation, provider call, redaction, scope snapshot, source và disclaimer.
6. So sánh toàn bộ kết quả với cột 'Kết quả mong đợi' và đính kèm evidence nếu Fail/Blocked.</t>
        </is>
      </c>
      <c r="L13" s="5" t="inlineStr">
        <is>
          <t>400/403; không nối sai chuỗi hội thoại</t>
        </is>
      </c>
      <c r="M13" s="5" t="inlineStr">
        <is>
          <t>Không lưu/gửi secret; interaction, feedback, source và audit đúng ownership/scope.</t>
        </is>
      </c>
      <c r="N13" s="5" t="inlineStr"/>
      <c r="O13" s="18" t="inlineStr">
        <is>
          <t>Not Run</t>
        </is>
      </c>
      <c r="P13" s="5" t="inlineStr"/>
      <c r="Q13" s="5" t="inlineStr"/>
      <c r="R13" s="5" t="inlineStr"/>
      <c r="S13" s="5" t="inlineStr"/>
      <c r="T13" s="5" t="inlineStr"/>
      <c r="U13" s="5" t="inlineStr">
        <is>
          <t>Candidate</t>
        </is>
      </c>
      <c r="V13" s="5" t="inlineStr"/>
    </row>
    <row r="14" ht="132" customHeight="1">
      <c r="A14" s="4" t="n">
        <v>11</v>
      </c>
      <c r="B14" s="14" t="inlineStr">
        <is>
          <t>COM12-11</t>
        </is>
      </c>
      <c r="C14" s="4" t="inlineStr">
        <is>
          <t>UC-COM-12</t>
        </is>
      </c>
      <c r="D14" s="4" t="inlineStr">
        <is>
          <t>Provider timeout, HTTP lỗi, JSON sai hoặc response quá lớn</t>
        </is>
      </c>
      <c r="E14" s="19" t="inlineStr">
        <is>
          <t>P1</t>
        </is>
      </c>
      <c r="F14" s="4" t="inlineStr">
        <is>
          <t>Performance/Resilience</t>
        </is>
      </c>
      <c r="G14" s="4" t="inlineStr">
        <is>
          <t>API + Integration</t>
        </is>
      </c>
      <c r="H14" s="4" t="inlineStr">
        <is>
          <t>GET|POST /api/v1/common/ai-conversations/
POST /api/v1/common/ai/query/
POST /api/v1/common/ai/{id}/{confirm|feedback}/
POST /api/v1/common/ai/{id}/source/{index}/</t>
        </is>
      </c>
      <c r="I14" s="4" t="inlineStr">
        <is>
          <t>Có COM.AI.USE theo case; chuẩn bị AI OFF/ON và provider stub success/error/timeout.</t>
        </is>
      </c>
      <c r="J14" s="4" t="inlineStr">
        <is>
          <t>question=Phân tích tình hình hiện tại; request_id=req-&lt;uuid&gt;; context có/không có dữ liệu nhạy cảm
Bổ sung: AI stub hỗ trợ success, timeout, HTTP 500, invalid JSON và oversized response</t>
        </is>
      </c>
      <c r="K14" s="4" t="inlineStr">
        <is>
          <t>1. Chuẩn bị dữ liệu đúng mục 'Điều kiện trước' và ghi lại các ID ban đầu.
2. Đăng nhập bằng đúng actor/role và chọn company/branch theo điều kiện trước.
3. Thực hiện kịch bản: Provider timeout, HTTP lỗi, JSON sai hoặc response quá lớn.
4. Ghi lại HTTP status, response body và thông báo/điều hướng trên UI (nếu có).
5. Kiểm tra interaction/conversation, provider call, redaction, scope snapshot, source và disclaimer.
6. So sánh toàn bộ kết quả với cột 'Kết quả mong đợi' và đính kèm evidence nếu Fail/Blocked.</t>
        </is>
      </c>
      <c r="L14" s="4" t="inlineStr">
        <is>
          <t>503, status UNAVAILABLE, thông báo fallback; không lỗi 5xx không kiểm soát</t>
        </is>
      </c>
      <c r="M14" s="4" t="inlineStr">
        <is>
          <t>Không lưu/gửi secret; interaction, feedback, source và audit đúng ownership/scope.</t>
        </is>
      </c>
      <c r="N14" s="4" t="inlineStr"/>
      <c r="O14" s="16" t="inlineStr">
        <is>
          <t>Not Run</t>
        </is>
      </c>
      <c r="P14" s="4" t="inlineStr"/>
      <c r="Q14" s="4" t="inlineStr"/>
      <c r="R14" s="4" t="inlineStr"/>
      <c r="S14" s="4" t="inlineStr"/>
      <c r="T14" s="4" t="inlineStr"/>
      <c r="U14" s="4" t="inlineStr">
        <is>
          <t>Candidate</t>
        </is>
      </c>
      <c r="V14" s="4" t="inlineStr"/>
    </row>
    <row r="15" ht="132" customHeight="1">
      <c r="A15" s="5" t="n">
        <v>12</v>
      </c>
      <c r="B15" s="17" t="inlineStr">
        <is>
          <t>COM12-12</t>
        </is>
      </c>
      <c r="C15" s="5" t="inlineStr">
        <is>
          <t>UC-COM-12</t>
        </is>
      </c>
      <c r="D15" s="5" t="inlineStr">
        <is>
          <t>Confirm interaction COMPLETED</t>
        </is>
      </c>
      <c r="E15" s="19" t="inlineStr">
        <is>
          <t>P1</t>
        </is>
      </c>
      <c r="F15" s="5" t="inlineStr">
        <is>
          <t>Functional</t>
        </is>
      </c>
      <c r="G15" s="5" t="inlineStr">
        <is>
          <t>API + UI/E2E</t>
        </is>
      </c>
      <c r="H15" s="5" t="inlineStr">
        <is>
          <t>GET|POST /api/v1/common/ai-conversations/
POST /api/v1/common/ai/query/
POST /api/v1/common/ai/{id}/{confirm|feedback}/
POST /api/v1/common/ai/{id}/source/{index}/</t>
        </is>
      </c>
      <c r="I15" s="5" t="inlineStr">
        <is>
          <t>Có COM.AI.USE theo case; chuẩn bị AI OFF/ON và provider stub success/error/timeout.</t>
        </is>
      </c>
      <c r="J15" s="5" t="inlineStr">
        <is>
          <t>question=Phân tích tình hình hiện tại; request_id=req-&lt;uuid&gt;; context có/không có dữ liệu nhạy cảm</t>
        </is>
      </c>
      <c r="K15" s="5" t="inlineStr">
        <is>
          <t>1. Chuẩn bị dữ liệu đúng mục 'Điều kiện trước' và ghi lại các ID ban đầu.
2. Đăng nhập bằng đúng actor/role và chọn company/branch theo điều kiện trước.
3. Thực hiện kịch bản: Confirm interaction COMPLETED.
4. Ghi lại HTTP status, response body và thông báo/điều hướng trên UI (nếu có).
5. Kiểm tra interaction/conversation, provider call, redaction, scope snapshot, source và disclaimer.
6. So sánh toàn bộ kết quả với cột 'Kết quả mong đợi' và đính kèm evidence nếu Fail/Blocked.</t>
        </is>
      </c>
      <c r="L15" s="5" t="inlineStr">
        <is>
          <t>Set confirmed_at; interaction không completed bị từ chối</t>
        </is>
      </c>
      <c r="M15" s="5" t="inlineStr">
        <is>
          <t>Không lưu/gửi secret; interaction, feedback, source và audit đúng ownership/scope.</t>
        </is>
      </c>
      <c r="N15" s="5" t="inlineStr"/>
      <c r="O15" s="18" t="inlineStr">
        <is>
          <t>Not Run</t>
        </is>
      </c>
      <c r="P15" s="5" t="inlineStr"/>
      <c r="Q15" s="5" t="inlineStr"/>
      <c r="R15" s="5" t="inlineStr"/>
      <c r="S15" s="5" t="inlineStr"/>
      <c r="T15" s="5" t="inlineStr"/>
      <c r="U15" s="5" t="inlineStr">
        <is>
          <t>Candidate</t>
        </is>
      </c>
      <c r="V15" s="5" t="inlineStr"/>
    </row>
    <row r="16" ht="132" customHeight="1">
      <c r="A16" s="4" t="n">
        <v>13</v>
      </c>
      <c r="B16" s="14" t="inlineStr">
        <is>
          <t>COM12-13</t>
        </is>
      </c>
      <c r="C16" s="4" t="inlineStr">
        <is>
          <t>UC-COM-12</t>
        </is>
      </c>
      <c r="D16" s="4" t="inlineStr">
        <is>
          <t>Gửi/cập nhật feedback helpful và comment</t>
        </is>
      </c>
      <c r="E16" s="19" t="inlineStr">
        <is>
          <t>P1</t>
        </is>
      </c>
      <c r="F16" s="4" t="inlineStr">
        <is>
          <t>Functional</t>
        </is>
      </c>
      <c r="G16" s="4" t="inlineStr">
        <is>
          <t>API + UI/E2E</t>
        </is>
      </c>
      <c r="H16" s="4" t="inlineStr">
        <is>
          <t>GET|POST /api/v1/common/ai-conversations/
POST /api/v1/common/ai/query/
POST /api/v1/common/ai/{id}/{confirm|feedback}/
POST /api/v1/common/ai/{id}/source/{index}/</t>
        </is>
      </c>
      <c r="I16" s="4" t="inlineStr">
        <is>
          <t>Có COM.AI.USE theo case; chuẩn bị AI OFF/ON và provider stub success/error/timeout.</t>
        </is>
      </c>
      <c r="J16" s="4" t="inlineStr">
        <is>
          <t>question=Phân tích tình hình hiện tại; request_id=req-&lt;uuid&gt;; context có/không có dữ liệu nhạy cảm</t>
        </is>
      </c>
      <c r="K16" s="4" t="inlineStr">
        <is>
          <t>1. Chuẩn bị dữ liệu đúng mục 'Điều kiện trước' và ghi lại các ID ban đầu.
2. Đăng nhập bằng đúng actor/role và chọn company/branch theo điều kiện trước.
3. Thực hiện kịch bản: Gửi/cập nhật feedback helpful và comment.
4. Ghi lại HTTP status, response body và thông báo/điều hướng trên UI (nếu có).
5. Kiểm tra interaction/conversation, provider call, redaction, scope snapshot, source và disclaimer.
6. So sánh toàn bộ kết quả với cột 'Kết quả mong đợi' và đính kèm evidence nếu Fail/Blocked.</t>
        </is>
      </c>
      <c r="L16" s="4" t="inlineStr">
        <is>
          <t>Upsert đúng một feedback/interaction/user; comment tối đa 1000</t>
        </is>
      </c>
      <c r="M16" s="4" t="inlineStr">
        <is>
          <t>Không lưu/gửi secret; interaction, feedback, source và audit đúng ownership/scope.</t>
        </is>
      </c>
      <c r="N16" s="4" t="inlineStr"/>
      <c r="O16" s="16" t="inlineStr">
        <is>
          <t>Not Run</t>
        </is>
      </c>
      <c r="P16" s="4" t="inlineStr"/>
      <c r="Q16" s="4" t="inlineStr"/>
      <c r="R16" s="4" t="inlineStr"/>
      <c r="S16" s="4" t="inlineStr"/>
      <c r="T16" s="4" t="inlineStr"/>
      <c r="U16" s="4" t="inlineStr">
        <is>
          <t>Candidate</t>
        </is>
      </c>
      <c r="V16" s="4" t="inlineStr"/>
    </row>
    <row r="17" ht="132" customHeight="1">
      <c r="A17" s="5" t="n">
        <v>14</v>
      </c>
      <c r="B17" s="17" t="inlineStr">
        <is>
          <t>COM12-14</t>
        </is>
      </c>
      <c r="C17" s="5" t="inlineStr">
        <is>
          <t>UC-COM-12</t>
        </is>
      </c>
      <c r="D17" s="5" t="inlineStr">
        <is>
          <t>Mở source index hợp lệ/không hợp lệ hoặc source ngoài quyền</t>
        </is>
      </c>
      <c r="E17" s="15" t="inlineStr">
        <is>
          <t>P0</t>
        </is>
      </c>
      <c r="F17" s="5" t="inlineStr">
        <is>
          <t>Security/Authorization</t>
        </is>
      </c>
      <c r="G17" s="5" t="inlineStr">
        <is>
          <t>API + Integration</t>
        </is>
      </c>
      <c r="H17" s="5" t="inlineStr">
        <is>
          <t>GET|POST /api/v1/common/ai-conversations/
POST /api/v1/common/ai/query/
POST /api/v1/common/ai/{id}/{confirm|feedback}/
POST /api/v1/common/ai/{id}/source/{index}/</t>
        </is>
      </c>
      <c r="I17" s="5" t="inlineStr">
        <is>
          <t>Có COM.AI.USE theo case; chuẩn bị AI OFF/ON và provider stub success/error/timeout.</t>
        </is>
      </c>
      <c r="J17" s="5" t="inlineStr">
        <is>
          <t>question=Phân tích tình hình hiện tại; request_id=req-&lt;uuid&gt;; context có/không có dữ liệu nhạy cảm</t>
        </is>
      </c>
      <c r="K17" s="5" t="inlineStr">
        <is>
          <t>1. Chuẩn bị dữ liệu đúng mục 'Điều kiện trước' và ghi lại các ID ban đầu.
2. Đăng nhập bằng đúng actor/role và chọn company/branch theo điều kiện trước.
3. Thực hiện kịch bản: Mở source index hợp lệ/không hợp lệ hoặc source ngoài quyền.
4. Ghi lại HTTP status, response body và thông báo/điều hướng trên UI (nếu có).
5. Kiểm tra interaction/conversation, provider call, redaction, scope snapshot, source và disclaimer.
6. So sánh toàn bộ kết quả với cột 'Kết quả mong đợi' và đính kèm evidence nếu Fail/Blocked.</t>
        </is>
      </c>
      <c r="L17" s="5" t="inlineStr">
        <is>
          <t>Chỉ mở nguồn còn được phép; index sai trả 400/404</t>
        </is>
      </c>
      <c r="M17" s="5" t="inlineStr">
        <is>
          <t>Không lưu/gửi secret; interaction, feedback, source và audit đúng ownership/scope.</t>
        </is>
      </c>
      <c r="N17" s="5" t="inlineStr"/>
      <c r="O17" s="18" t="inlineStr">
        <is>
          <t>Not Run</t>
        </is>
      </c>
      <c r="P17" s="5" t="inlineStr"/>
      <c r="Q17" s="5" t="inlineStr"/>
      <c r="R17" s="5" t="inlineStr"/>
      <c r="S17" s="5" t="inlineStr"/>
      <c r="T17" s="5" t="inlineStr"/>
      <c r="U17" s="5" t="inlineStr">
        <is>
          <t>Candidate</t>
        </is>
      </c>
      <c r="V17" s="5" t="inlineStr"/>
    </row>
    <row r="18" ht="132" customHeight="1">
      <c r="A18" s="4" t="n">
        <v>15</v>
      </c>
      <c r="B18" s="14" t="inlineStr">
        <is>
          <t>COM12-15</t>
        </is>
      </c>
      <c r="C18" s="4" t="inlineStr">
        <is>
          <t>UC-COM-12</t>
        </is>
      </c>
      <c r="D18" s="4" t="inlineStr">
        <is>
          <t>Question 2/3/4000/4001 ký tự và context rất lớn</t>
        </is>
      </c>
      <c r="E18" s="19" t="inlineStr">
        <is>
          <t>P1</t>
        </is>
      </c>
      <c r="F18" s="4" t="inlineStr">
        <is>
          <t>Functional</t>
        </is>
      </c>
      <c r="G18" s="4" t="inlineStr">
        <is>
          <t>API + UI/E2E</t>
        </is>
      </c>
      <c r="H18" s="4" t="inlineStr">
        <is>
          <t>GET|POST /api/v1/common/ai-conversations/
POST /api/v1/common/ai/query/
POST /api/v1/common/ai/{id}/{confirm|feedback}/
POST /api/v1/common/ai/{id}/source/{index}/</t>
        </is>
      </c>
      <c r="I18" s="4" t="inlineStr">
        <is>
          <t>Có COM.AI.USE theo case; chuẩn bị AI OFF/ON và provider stub success/error/timeout.</t>
        </is>
      </c>
      <c r="J18" s="4" t="inlineStr">
        <is>
          <t>question=Phân tích tình hình hiện tại; request_id=req-&lt;uuid&gt;; context có/không có dữ liệu nhạy cảm</t>
        </is>
      </c>
      <c r="K18" s="4" t="inlineStr">
        <is>
          <t>1. Chuẩn bị dữ liệu đúng mục 'Điều kiện trước' và ghi lại các ID ban đầu.
2. Đăng nhập bằng đúng actor/role và chọn company/branch theo điều kiện trước.
3. Thực hiện kịch bản: Question 2/3/4000/4001 ký tự và context rất lớn.
4. Ghi lại HTTP status, response body và thông báo/điều hướng trên UI (nếu có).
5. Kiểm tra interaction/conversation, provider call, redaction, scope snapshot, source và disclaimer.
6. So sánh toàn bộ kết quả với cột 'Kết quả mong đợi' và đính kèm evidence nếu Fail/Blocked.</t>
        </is>
      </c>
      <c r="L18" s="4" t="inlineStr">
        <is>
          <t>Thực thi đúng giới hạn đã duyệt; không treo hoặc vượt payload limit</t>
        </is>
      </c>
      <c r="M18" s="4" t="inlineStr">
        <is>
          <t>Không lưu/gửi secret; interaction, feedback, source và audit đúng ownership/scope.</t>
        </is>
      </c>
      <c r="N18" s="4" t="inlineStr"/>
      <c r="O18" s="16" t="inlineStr">
        <is>
          <t>Not Run</t>
        </is>
      </c>
      <c r="P18" s="4" t="inlineStr"/>
      <c r="Q18" s="4" t="inlineStr"/>
      <c r="R18" s="4" t="inlineStr"/>
      <c r="S18" s="4" t="inlineStr"/>
      <c r="T18" s="4" t="inlineStr"/>
      <c r="U18" s="4" t="inlineStr">
        <is>
          <t>Candidate</t>
        </is>
      </c>
      <c r="V18" s="4" t="inlineStr"/>
    </row>
    <row r="19" ht="132" customHeight="1">
      <c r="A19" s="5" t="n">
        <v>16</v>
      </c>
      <c r="B19" s="17" t="inlineStr">
        <is>
          <t>COM12-16</t>
        </is>
      </c>
      <c r="C19" s="5" t="inlineStr">
        <is>
          <t>UC-COM-12</t>
        </is>
      </c>
      <c r="D19" s="5" t="inlineStr">
        <is>
          <t>Nội dung output có HTML/script/công thức nguy hiểm</t>
        </is>
      </c>
      <c r="E19" s="19" t="inlineStr">
        <is>
          <t>P1</t>
        </is>
      </c>
      <c r="F19" s="5" t="inlineStr">
        <is>
          <t>Functional</t>
        </is>
      </c>
      <c r="G19" s="5" t="inlineStr">
        <is>
          <t>API + UI/E2E</t>
        </is>
      </c>
      <c r="H19" s="5" t="inlineStr">
        <is>
          <t>GET|POST /api/v1/common/ai-conversations/
POST /api/v1/common/ai/query/
POST /api/v1/common/ai/{id}/{confirm|feedback}/
POST /api/v1/common/ai/{id}/source/{index}/</t>
        </is>
      </c>
      <c r="I19" s="5" t="inlineStr">
        <is>
          <t>Có COM.AI.USE theo case; chuẩn bị AI OFF/ON và provider stub success/error/timeout.</t>
        </is>
      </c>
      <c r="J19" s="5" t="inlineStr">
        <is>
          <t>question=Phân tích tình hình hiện tại; request_id=req-&lt;uuid&gt;; context có/không có dữ liệu nhạy cảm</t>
        </is>
      </c>
      <c r="K19" s="5" t="inlineStr">
        <is>
          <t>1. Chuẩn bị dữ liệu đúng mục 'Điều kiện trước' và ghi lại các ID ban đầu.
2. Đăng nhập bằng đúng actor/role và chọn company/branch theo điều kiện trước.
3. Thực hiện kịch bản: Nội dung output có HTML/script/công thức nguy hiểm.
4. Ghi lại HTTP status, response body và thông báo/điều hướng trên UI (nếu có).
5. Kiểm tra interaction/conversation, provider call, redaction, scope snapshot, source và disclaimer.
6. So sánh toàn bộ kết quả với cột 'Kết quả mong đợi' và đính kèm evidence nếu Fail/Blocked.</t>
        </is>
      </c>
      <c r="L19" s="5" t="inlineStr">
        <is>
          <t>UI encode/sanitize; không XSS; disclaimer luôn hiển thị</t>
        </is>
      </c>
      <c r="M19" s="5" t="inlineStr">
        <is>
          <t>Không lưu/gửi secret; interaction, feedback, source và audit đúng ownership/scope.</t>
        </is>
      </c>
      <c r="N19" s="5" t="inlineStr"/>
      <c r="O19" s="18" t="inlineStr">
        <is>
          <t>Not Run</t>
        </is>
      </c>
      <c r="P19" s="5" t="inlineStr"/>
      <c r="Q19" s="5" t="inlineStr"/>
      <c r="R19" s="5" t="inlineStr"/>
      <c r="S19" s="5" t="inlineStr"/>
      <c r="T19" s="5" t="inlineStr"/>
      <c r="U19" s="5" t="inlineStr">
        <is>
          <t>Candidate</t>
        </is>
      </c>
      <c r="V19" s="5" t="inlineStr"/>
    </row>
  </sheetData>
  <autoFilter ref="A3:V19"/>
  <mergeCells count="2">
    <mergeCell ref="A2:V2"/>
    <mergeCell ref="A1:V1"/>
  </mergeCells>
  <conditionalFormatting sqref="O4:O19">
    <cfRule type="expression" priority="1" dxfId="0">
      <formula>$O4="Pass"</formula>
    </cfRule>
    <cfRule type="expression" priority="2" dxfId="1">
      <formula>$O4="Fail"</formula>
    </cfRule>
    <cfRule type="expression" priority="3" dxfId="2">
      <formula>$O4="Blocked"</formula>
    </cfRule>
    <cfRule type="expression" priority="4" dxfId="3">
      <formula>$O4="N/A"</formula>
    </cfRule>
  </conditionalFormatting>
  <dataValidations count="3">
    <dataValidation sqref="O4:O19" showDropDown="0" showInputMessage="0" showErrorMessage="0" allowBlank="1" type="list">
      <formula1>"Not Run,Pass,Fail,Blocked,N/A"</formula1>
    </dataValidation>
    <dataValidation sqref="P4:P19" showDropDown="0" showInputMessage="0" showErrorMessage="0" allowBlank="1" type="list">
      <formula1>"S1 Critical,S2 High,S3 Medium,S4 Low"</formula1>
    </dataValidation>
    <dataValidation sqref="U4:U19" showDropDown="0" showInputMessage="0" showErrorMessage="0" allowBlank="1" type="list">
      <formula1>"Manual,Automated,Candidate,Not Applicable"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ERP QA</dc:creator>
  <dc:title xmlns:dc="http://purl.org/dc/elements/1.1/">Common Services Test Cases – UC-COM-01 đến UC-COM-12</dc:title>
  <dc:description xmlns:dc="http://purl.org/dc/elements/1.1/">Test cases generated from docs/COMMON_SERVICES_TEST_PLAN.md</dc:description>
  <dc:subject xmlns:dc="http://purl.org/dc/elements/1.1/">Execution-ready test cases</dc:subject>
  <dcterms:created xmlns:dcterms="http://purl.org/dc/terms/" xmlns:xsi="http://www.w3.org/2001/XMLSchema-instance" xsi:type="dcterms:W3CDTF">2026-09-30T02:12:29Z</dcterms:created>
  <dcterms:modified xmlns:dcterms="http://purl.org/dc/terms/" xmlns:xsi="http://www.w3.org/2001/XMLSchema-instance" xsi:type="dcterms:W3CDTF">2026-09-30T02:12:30Z</dcterms:modified>
</cp:coreProperties>
</file>